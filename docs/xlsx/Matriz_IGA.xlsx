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2.xml" ContentType="application/vnd.openxmlformats-officedocument.spreadsheetml.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GIEN\Documents\GGC-0805-2025\Politica y Relacionamiento Ambiental\Indicador de gobernaza\INDICE DE GOBERNANZA SME 2023\IGA\docs\xlsx\"/>
    </mc:Choice>
  </mc:AlternateContent>
  <xr:revisionPtr revIDLastSave="0" documentId="13_ncr:1_{876A9840-BB30-46F0-9920-1AB1743263E9}" xr6:coauthVersionLast="47" xr6:coauthVersionMax="47" xr10:uidLastSave="{00000000-0000-0000-0000-000000000000}"/>
  <bookViews>
    <workbookView xWindow="-108" yWindow="-108" windowWidth="23256" windowHeight="12456" firstSheet="1" activeTab="4" xr2:uid="{05641854-7AD6-4C4A-B363-B2374F45EEBE}"/>
  </bookViews>
  <sheets>
    <sheet name="Variable_indicador" sheetId="1" r:id="rId1"/>
    <sheet name="Puntaje asignado indicador" sheetId="2" r:id="rId2"/>
    <sheet name="Ponderado indicador" sheetId="3" r:id="rId3"/>
    <sheet name="Tb" sheetId="6" state="hidden" r:id="rId4"/>
    <sheet name="Resultado" sheetId="4" r:id="rId5"/>
    <sheet name="tablas dinamicas" sheetId="7" r:id="rId6"/>
  </sheets>
  <externalReferences>
    <externalReference r:id="rId7"/>
  </externalReferences>
  <definedNames>
    <definedName name="_xlnm._FilterDatabase" localSheetId="0" hidden="1">Variable_indicador!$A$2:$S$2</definedName>
    <definedName name="Dimensiones">[1]Listas!$A$2:$A$12</definedName>
    <definedName name="subsector">[1]Listas!$M$2:$M$5</definedName>
  </definedNames>
  <calcPr calcId="191029" concurrentCalc="0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7" l="1"/>
  <c r="C4" i="7"/>
  <c r="C5" i="7"/>
  <c r="C6" i="7"/>
  <c r="C7" i="7"/>
  <c r="C8" i="7"/>
  <c r="C9" i="7"/>
  <c r="C10" i="7"/>
  <c r="C11" i="7"/>
  <c r="C12" i="7"/>
  <c r="C2" i="7"/>
  <c r="D53" i="2"/>
  <c r="F52" i="4"/>
  <c r="S899" i="1"/>
  <c r="D52" i="2"/>
  <c r="G52" i="2"/>
  <c r="G51" i="4"/>
  <c r="D51" i="2"/>
  <c r="G51" i="2"/>
  <c r="G50" i="4"/>
  <c r="D50" i="2"/>
  <c r="G50" i="2"/>
  <c r="G49" i="4"/>
  <c r="S888" i="1"/>
  <c r="T889" i="1"/>
  <c r="S887" i="1"/>
  <c r="S886" i="1"/>
  <c r="S879" i="1"/>
  <c r="S878" i="1"/>
  <c r="S877" i="1"/>
  <c r="S876" i="1"/>
  <c r="S874" i="1"/>
  <c r="S875" i="1"/>
  <c r="S873" i="1"/>
  <c r="S860" i="1"/>
  <c r="S859" i="1"/>
  <c r="S842" i="1"/>
  <c r="S845" i="1"/>
  <c r="S848" i="1"/>
  <c r="S839" i="1"/>
  <c r="S844" i="1"/>
  <c r="S847" i="1"/>
  <c r="S835" i="1"/>
  <c r="S843" i="1"/>
  <c r="S846" i="1"/>
  <c r="S816" i="1"/>
  <c r="S815" i="1"/>
  <c r="S813" i="1"/>
  <c r="S812" i="1"/>
  <c r="S810" i="1"/>
  <c r="S809" i="1"/>
  <c r="S808" i="1"/>
  <c r="S805" i="1"/>
  <c r="S802" i="1"/>
  <c r="S799" i="1"/>
  <c r="S796" i="1"/>
  <c r="S793" i="1"/>
  <c r="S790" i="1"/>
  <c r="S787" i="1"/>
  <c r="S784" i="1"/>
  <c r="S781" i="1"/>
  <c r="S778" i="1"/>
  <c r="S775" i="1"/>
  <c r="S772" i="1"/>
  <c r="S769" i="1"/>
  <c r="S766" i="1"/>
  <c r="S763" i="1"/>
  <c r="S759" i="1"/>
  <c r="S755" i="1"/>
  <c r="S751" i="1"/>
  <c r="S750" i="1"/>
  <c r="S743" i="1"/>
  <c r="S738" i="1"/>
  <c r="S739" i="1"/>
  <c r="S736" i="1"/>
  <c r="S735" i="1"/>
  <c r="S734" i="1"/>
  <c r="S731" i="1"/>
  <c r="S737" i="1"/>
  <c r="S728" i="1"/>
  <c r="S725" i="1"/>
  <c r="S740" i="1"/>
  <c r="D42" i="2"/>
  <c r="G42" i="2"/>
  <c r="G41" i="4"/>
  <c r="D41" i="2"/>
  <c r="G41" i="2"/>
  <c r="G40" i="4"/>
  <c r="S716" i="1"/>
  <c r="S713" i="1"/>
  <c r="D39" i="2"/>
  <c r="G39" i="2"/>
  <c r="G38" i="4"/>
  <c r="D38" i="2"/>
  <c r="G38" i="2"/>
  <c r="G37" i="4"/>
  <c r="D37" i="2"/>
  <c r="G37" i="2"/>
  <c r="G36" i="4"/>
  <c r="D36" i="2"/>
  <c r="F35" i="4"/>
  <c r="D35" i="2"/>
  <c r="G35" i="2"/>
  <c r="G34" i="4"/>
  <c r="S700" i="1"/>
  <c r="S699" i="1"/>
  <c r="D34" i="2"/>
  <c r="G34" i="2"/>
  <c r="G33" i="4"/>
  <c r="D33" i="2"/>
  <c r="G33" i="2"/>
  <c r="G32" i="4"/>
  <c r="S678" i="1"/>
  <c r="S677" i="1"/>
  <c r="S676" i="1"/>
  <c r="S675" i="1"/>
  <c r="S674" i="1"/>
  <c r="S673" i="1"/>
  <c r="S666" i="1"/>
  <c r="S665" i="1"/>
  <c r="S652" i="1"/>
  <c r="S656" i="1"/>
  <c r="S651" i="1"/>
  <c r="S655" i="1"/>
  <c r="S636" i="1"/>
  <c r="S635" i="1"/>
  <c r="S626" i="1"/>
  <c r="S625" i="1"/>
  <c r="S622" i="1"/>
  <c r="S621" i="1"/>
  <c r="S624" i="1"/>
  <c r="S623" i="1"/>
  <c r="S603" i="1"/>
  <c r="S602" i="1"/>
  <c r="G49" i="2"/>
  <c r="D49" i="2"/>
  <c r="F48" i="4"/>
  <c r="G53" i="2"/>
  <c r="G52" i="4"/>
  <c r="F50" i="4"/>
  <c r="F51" i="4"/>
  <c r="F49" i="4"/>
  <c r="F41" i="4"/>
  <c r="D48" i="2"/>
  <c r="T888" i="1"/>
  <c r="G47" i="2"/>
  <c r="S814" i="1"/>
  <c r="S819" i="1"/>
  <c r="S822" i="1"/>
  <c r="D43" i="2"/>
  <c r="D44" i="2"/>
  <c r="S811" i="1"/>
  <c r="S818" i="1"/>
  <c r="S821" i="1"/>
  <c r="S817" i="1"/>
  <c r="S820" i="1"/>
  <c r="S823" i="1"/>
  <c r="D28" i="2"/>
  <c r="F27" i="4"/>
  <c r="D45" i="2"/>
  <c r="D40" i="2"/>
  <c r="G40" i="2"/>
  <c r="G39" i="4"/>
  <c r="D30" i="2"/>
  <c r="F29" i="4"/>
  <c r="F40" i="4"/>
  <c r="F38" i="4"/>
  <c r="F37" i="4"/>
  <c r="F36" i="4"/>
  <c r="G36" i="2"/>
  <c r="G35" i="4"/>
  <c r="F33" i="4"/>
  <c r="F34" i="4"/>
  <c r="F32" i="4"/>
  <c r="S679" i="1"/>
  <c r="S680" i="1"/>
  <c r="S627" i="1"/>
  <c r="S628" i="1"/>
  <c r="S638" i="1"/>
  <c r="S637" i="1"/>
  <c r="G48" i="4"/>
  <c r="G46" i="2"/>
  <c r="D47" i="2"/>
  <c r="F46" i="4"/>
  <c r="G46" i="4"/>
  <c r="G45" i="2"/>
  <c r="G44" i="4"/>
  <c r="F44" i="4"/>
  <c r="D46" i="2"/>
  <c r="F45" i="4"/>
  <c r="G45" i="4"/>
  <c r="G44" i="2"/>
  <c r="G43" i="4"/>
  <c r="F43" i="4"/>
  <c r="G43" i="2"/>
  <c r="G42" i="4"/>
  <c r="F42" i="4"/>
  <c r="G48" i="2"/>
  <c r="G47" i="4"/>
  <c r="F47" i="4"/>
  <c r="F39" i="4"/>
  <c r="G28" i="2"/>
  <c r="G27" i="4"/>
  <c r="G30" i="2"/>
  <c r="G29" i="4"/>
  <c r="D31" i="2"/>
  <c r="F30" i="4"/>
  <c r="D29" i="2"/>
  <c r="G29" i="2"/>
  <c r="G28" i="4"/>
  <c r="H26" i="4"/>
  <c r="S578" i="1"/>
  <c r="S577" i="1"/>
  <c r="S556" i="1"/>
  <c r="S555" i="1"/>
  <c r="S550" i="1"/>
  <c r="S549" i="1"/>
  <c r="S546" i="1"/>
  <c r="S545" i="1"/>
  <c r="G31" i="2"/>
  <c r="G30" i="4"/>
  <c r="F28" i="4"/>
  <c r="S592" i="1"/>
  <c r="S593" i="1"/>
  <c r="D27" i="2"/>
  <c r="F26" i="4"/>
  <c r="G27" i="2"/>
  <c r="G26" i="4"/>
  <c r="H54" i="4"/>
  <c r="U24" i="3"/>
  <c r="F24" i="4"/>
  <c r="G24" i="4"/>
  <c r="S504" i="1"/>
  <c r="S539" i="1"/>
  <c r="S535" i="1"/>
  <c r="S533" i="1"/>
  <c r="S531" i="1"/>
  <c r="S529" i="1"/>
  <c r="S525" i="1"/>
  <c r="S523" i="1"/>
  <c r="S521" i="1"/>
  <c r="S515" i="1"/>
  <c r="S512" i="1"/>
  <c r="S541" i="1"/>
  <c r="S508" i="1"/>
  <c r="S499" i="1"/>
  <c r="S493" i="1"/>
  <c r="S542" i="1"/>
  <c r="S538" i="1"/>
  <c r="S537" i="1"/>
  <c r="S540" i="1"/>
  <c r="S492" i="1"/>
  <c r="S520" i="1"/>
  <c r="S528" i="1"/>
  <c r="S543" i="1"/>
  <c r="D26" i="2"/>
  <c r="F25" i="4"/>
  <c r="G26" i="2"/>
  <c r="G25" i="4"/>
  <c r="S478" i="1"/>
  <c r="S490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49" i="1"/>
  <c r="S448" i="1"/>
  <c r="S447" i="1"/>
  <c r="S446" i="1"/>
  <c r="S445" i="1"/>
  <c r="S444" i="1"/>
  <c r="S443" i="1"/>
  <c r="S442" i="1"/>
  <c r="S441" i="1"/>
  <c r="S426" i="1"/>
  <c r="S427" i="1"/>
  <c r="S425" i="1"/>
  <c r="S424" i="1"/>
  <c r="S422" i="1"/>
  <c r="S423" i="1"/>
  <c r="S408" i="1"/>
  <c r="S399" i="1"/>
  <c r="S390" i="1"/>
  <c r="S381" i="1"/>
  <c r="S372" i="1"/>
  <c r="S363" i="1"/>
  <c r="S354" i="1"/>
  <c r="S345" i="1"/>
  <c r="S336" i="1"/>
  <c r="S327" i="1"/>
  <c r="S318" i="1"/>
  <c r="S309" i="1"/>
  <c r="S300" i="1"/>
  <c r="S685" i="1"/>
  <c r="S691" i="1"/>
  <c r="S290" i="1"/>
  <c r="S289" i="1"/>
  <c r="S288" i="1"/>
  <c r="S285" i="1"/>
  <c r="S282" i="1"/>
  <c r="S279" i="1"/>
  <c r="S276" i="1"/>
  <c r="S273" i="1"/>
  <c r="S270" i="1"/>
  <c r="S267" i="1"/>
  <c r="S264" i="1"/>
  <c r="S261" i="1"/>
  <c r="D22" i="2"/>
  <c r="G22" i="2"/>
  <c r="G21" i="4"/>
  <c r="S450" i="1"/>
  <c r="S491" i="1"/>
  <c r="D24" i="2"/>
  <c r="S428" i="1"/>
  <c r="S420" i="1"/>
  <c r="S430" i="1"/>
  <c r="S429" i="1"/>
  <c r="S418" i="1"/>
  <c r="S421" i="1"/>
  <c r="D23" i="2"/>
  <c r="S414" i="1"/>
  <c r="S419" i="1"/>
  <c r="S412" i="1"/>
  <c r="S410" i="1"/>
  <c r="S413" i="1"/>
  <c r="S409" i="1"/>
  <c r="S415" i="1"/>
  <c r="S416" i="1"/>
  <c r="S417" i="1"/>
  <c r="S411" i="1"/>
  <c r="S291" i="1"/>
  <c r="F21" i="4"/>
  <c r="G24" i="2"/>
  <c r="G23" i="4"/>
  <c r="F23" i="4"/>
  <c r="G23" i="2"/>
  <c r="G22" i="4"/>
  <c r="F22" i="4"/>
  <c r="S246" i="1"/>
  <c r="S245" i="1"/>
  <c r="S239" i="1"/>
  <c r="S234" i="1"/>
  <c r="S238" i="1"/>
  <c r="S223" i="1"/>
  <c r="S216" i="1"/>
  <c r="S215" i="1"/>
  <c r="S214" i="1"/>
  <c r="S213" i="1"/>
  <c r="S212" i="1"/>
  <c r="S211" i="1"/>
  <c r="S210" i="1"/>
  <c r="S208" i="1"/>
  <c r="S209" i="1"/>
  <c r="S207" i="1"/>
  <c r="S204" i="1"/>
  <c r="S201" i="1"/>
  <c r="S196" i="1"/>
  <c r="S193" i="1"/>
  <c r="S187" i="1"/>
  <c r="S183" i="1"/>
  <c r="S178" i="1"/>
  <c r="S177" i="1"/>
  <c r="S176" i="1"/>
  <c r="S171" i="1"/>
  <c r="S170" i="1"/>
  <c r="S169" i="1"/>
  <c r="S168" i="1"/>
  <c r="S167" i="1"/>
  <c r="S166" i="1"/>
  <c r="S165" i="1"/>
  <c r="S164" i="1"/>
  <c r="S163" i="1"/>
  <c r="S161" i="1"/>
  <c r="S179" i="1"/>
  <c r="S153" i="1"/>
  <c r="S150" i="1"/>
  <c r="S174" i="1"/>
  <c r="S149" i="1"/>
  <c r="S173" i="1"/>
  <c r="S148" i="1"/>
  <c r="S135" i="1"/>
  <c r="S156" i="1"/>
  <c r="S130" i="1"/>
  <c r="S131" i="1"/>
  <c r="S129" i="1"/>
  <c r="S127" i="1"/>
  <c r="S128" i="1"/>
  <c r="S126" i="1"/>
  <c r="S124" i="1"/>
  <c r="S125" i="1"/>
  <c r="S123" i="1"/>
  <c r="S110" i="1"/>
  <c r="S109" i="1"/>
  <c r="S108" i="1"/>
  <c r="D21" i="2"/>
  <c r="F20" i="4"/>
  <c r="S101" i="1"/>
  <c r="S97" i="1"/>
  <c r="S98" i="1"/>
  <c r="S99" i="1"/>
  <c r="S100" i="1"/>
  <c r="S96" i="1"/>
  <c r="D14" i="2"/>
  <c r="F13" i="4"/>
  <c r="D13" i="2"/>
  <c r="F12" i="4"/>
  <c r="G13" i="2"/>
  <c r="S244" i="1"/>
  <c r="D20" i="2"/>
  <c r="F19" i="4"/>
  <c r="D19" i="2"/>
  <c r="F18" i="4"/>
  <c r="S175" i="1"/>
  <c r="D18" i="2"/>
  <c r="S172" i="1"/>
  <c r="G17" i="2"/>
  <c r="G16" i="4"/>
  <c r="D17" i="2"/>
  <c r="F16" i="4"/>
  <c r="D16" i="2"/>
  <c r="D15" i="2"/>
  <c r="G20" i="2"/>
  <c r="G19" i="4"/>
  <c r="G19" i="2"/>
  <c r="G18" i="4"/>
  <c r="F17" i="4"/>
  <c r="G18" i="2"/>
  <c r="G17" i="4"/>
  <c r="G15" i="2"/>
  <c r="G14" i="4"/>
  <c r="F14" i="4"/>
  <c r="G16" i="2"/>
  <c r="G15" i="4"/>
  <c r="F15" i="4"/>
  <c r="S69" i="1"/>
  <c r="S63" i="1"/>
  <c r="S59" i="1"/>
  <c r="S67" i="1"/>
  <c r="S52" i="1"/>
  <c r="D10" i="2"/>
  <c r="G10" i="2"/>
  <c r="G9" i="4"/>
  <c r="S34" i="1"/>
  <c r="D9" i="2"/>
  <c r="F8" i="4"/>
  <c r="S75" i="1"/>
  <c r="S66" i="1"/>
  <c r="S71" i="1"/>
  <c r="S70" i="1"/>
  <c r="S60" i="1"/>
  <c r="S62" i="1"/>
  <c r="S64" i="1"/>
  <c r="S65" i="1"/>
  <c r="S61" i="1"/>
  <c r="S73" i="1"/>
  <c r="S68" i="1"/>
  <c r="F9" i="4"/>
  <c r="G9" i="2"/>
  <c r="G8" i="4"/>
  <c r="S74" i="1"/>
  <c r="S76" i="1"/>
  <c r="S77" i="1"/>
  <c r="S72" i="1"/>
  <c r="D12" i="2"/>
  <c r="G12" i="2"/>
  <c r="F11" i="4"/>
  <c r="G11" i="4"/>
  <c r="S29" i="1"/>
  <c r="D8" i="2"/>
  <c r="S25" i="1"/>
  <c r="D7" i="2"/>
  <c r="G7" i="2"/>
  <c r="G6" i="4"/>
  <c r="G8" i="2"/>
  <c r="G7" i="4"/>
  <c r="F7" i="4"/>
  <c r="S22" i="1"/>
  <c r="D6" i="2"/>
  <c r="F5" i="4"/>
  <c r="S18" i="1"/>
  <c r="D5" i="2"/>
  <c r="S15" i="1"/>
  <c r="E63" i="6"/>
  <c r="E64" i="6"/>
  <c r="E65" i="6"/>
  <c r="E66" i="6"/>
  <c r="E23" i="6"/>
  <c r="E24" i="6"/>
  <c r="E25" i="6"/>
  <c r="E22" i="6"/>
  <c r="E62" i="6"/>
  <c r="E57" i="6"/>
  <c r="E58" i="6"/>
  <c r="E59" i="6"/>
  <c r="E60" i="6"/>
  <c r="E56" i="6"/>
  <c r="E53" i="6"/>
  <c r="E54" i="6"/>
  <c r="E52" i="6"/>
  <c r="F66" i="6"/>
  <c r="F65" i="6"/>
  <c r="F64" i="6"/>
  <c r="F63" i="6"/>
  <c r="F62" i="6"/>
  <c r="F25" i="6"/>
  <c r="F24" i="6"/>
  <c r="F23" i="6"/>
  <c r="F22" i="6"/>
  <c r="F60" i="6"/>
  <c r="F59" i="6"/>
  <c r="F58" i="6"/>
  <c r="F57" i="6"/>
  <c r="F56" i="6"/>
  <c r="F54" i="6"/>
  <c r="F53" i="6"/>
  <c r="F52" i="6"/>
  <c r="E5" i="6"/>
  <c r="E6" i="6"/>
  <c r="E7" i="6"/>
  <c r="E8" i="6"/>
  <c r="E9" i="6"/>
  <c r="E10" i="6"/>
  <c r="E11" i="6"/>
  <c r="E12" i="6"/>
  <c r="E13" i="6"/>
  <c r="E14" i="6"/>
  <c r="E4" i="6"/>
  <c r="F12" i="6"/>
  <c r="F11" i="6"/>
  <c r="F9" i="6"/>
  <c r="F8" i="6"/>
  <c r="F7" i="6"/>
  <c r="F6" i="6"/>
  <c r="F5" i="6"/>
  <c r="F14" i="6"/>
  <c r="F13" i="6"/>
  <c r="F4" i="6"/>
  <c r="F10" i="6"/>
  <c r="G5" i="2"/>
  <c r="G4" i="4"/>
  <c r="F4" i="4"/>
  <c r="G6" i="2"/>
  <c r="G5" i="4"/>
  <c r="G5" i="6"/>
  <c r="G6" i="6"/>
  <c r="G7" i="6"/>
  <c r="G8" i="6"/>
  <c r="G9" i="6"/>
  <c r="G10" i="6"/>
  <c r="G11" i="6"/>
  <c r="G12" i="6"/>
  <c r="G13" i="6"/>
  <c r="G14" i="6"/>
  <c r="G4" i="6"/>
  <c r="S13" i="1"/>
  <c r="D4" i="2"/>
  <c r="F3" i="4"/>
  <c r="G4" i="2"/>
  <c r="G3" i="4"/>
  <c r="S6" i="1"/>
  <c r="M50" i="3"/>
  <c r="N50" i="3"/>
  <c r="O50" i="3"/>
  <c r="P50" i="3"/>
  <c r="Q50" i="3"/>
  <c r="U50" i="3"/>
  <c r="R50" i="3"/>
  <c r="M3" i="3"/>
  <c r="N3" i="3"/>
  <c r="O3" i="3"/>
  <c r="P3" i="3"/>
  <c r="Q3" i="3"/>
  <c r="R3" i="3"/>
  <c r="M4" i="3"/>
  <c r="N4" i="3"/>
  <c r="O4" i="3"/>
  <c r="P4" i="3"/>
  <c r="Q4" i="3"/>
  <c r="R4" i="3"/>
  <c r="M5" i="3"/>
  <c r="N5" i="3"/>
  <c r="O5" i="3"/>
  <c r="P5" i="3"/>
  <c r="Q5" i="3"/>
  <c r="R5" i="3"/>
  <c r="M6" i="3"/>
  <c r="N6" i="3"/>
  <c r="O6" i="3"/>
  <c r="P6" i="3"/>
  <c r="Q6" i="3"/>
  <c r="R6" i="3"/>
  <c r="M7" i="3"/>
  <c r="N7" i="3"/>
  <c r="O7" i="3"/>
  <c r="P7" i="3"/>
  <c r="Q7" i="3"/>
  <c r="R7" i="3"/>
  <c r="M8" i="3"/>
  <c r="N8" i="3"/>
  <c r="O8" i="3"/>
  <c r="P8" i="3"/>
  <c r="Q8" i="3"/>
  <c r="R8" i="3"/>
  <c r="M9" i="3"/>
  <c r="N9" i="3"/>
  <c r="O9" i="3"/>
  <c r="P9" i="3"/>
  <c r="Q9" i="3"/>
  <c r="R9" i="3"/>
  <c r="M10" i="3"/>
  <c r="N10" i="3"/>
  <c r="O10" i="3"/>
  <c r="P10" i="3"/>
  <c r="Q10" i="3"/>
  <c r="R10" i="3"/>
  <c r="M11" i="3"/>
  <c r="N11" i="3"/>
  <c r="O11" i="3"/>
  <c r="P11" i="3"/>
  <c r="Q11" i="3"/>
  <c r="R11" i="3"/>
  <c r="M12" i="3"/>
  <c r="N12" i="3"/>
  <c r="O12" i="3"/>
  <c r="P12" i="3"/>
  <c r="Q12" i="3"/>
  <c r="R12" i="3"/>
  <c r="M13" i="3"/>
  <c r="N13" i="3"/>
  <c r="O13" i="3"/>
  <c r="P13" i="3"/>
  <c r="Q13" i="3"/>
  <c r="R13" i="3"/>
  <c r="M14" i="3"/>
  <c r="N14" i="3"/>
  <c r="O14" i="3"/>
  <c r="P14" i="3"/>
  <c r="Q14" i="3"/>
  <c r="R14" i="3"/>
  <c r="M15" i="3"/>
  <c r="N15" i="3"/>
  <c r="O15" i="3"/>
  <c r="P15" i="3"/>
  <c r="Q15" i="3"/>
  <c r="R15" i="3"/>
  <c r="M16" i="3"/>
  <c r="N16" i="3"/>
  <c r="O16" i="3"/>
  <c r="P16" i="3"/>
  <c r="Q16" i="3"/>
  <c r="R16" i="3"/>
  <c r="M17" i="3"/>
  <c r="N17" i="3"/>
  <c r="O17" i="3"/>
  <c r="P17" i="3"/>
  <c r="Q17" i="3"/>
  <c r="R17" i="3"/>
  <c r="M18" i="3"/>
  <c r="N18" i="3"/>
  <c r="O18" i="3"/>
  <c r="P18" i="3"/>
  <c r="Q18" i="3"/>
  <c r="R18" i="3"/>
  <c r="M19" i="3"/>
  <c r="N19" i="3"/>
  <c r="O19" i="3"/>
  <c r="P19" i="3"/>
  <c r="Q19" i="3"/>
  <c r="R19" i="3"/>
  <c r="M20" i="3"/>
  <c r="N20" i="3"/>
  <c r="O20" i="3"/>
  <c r="P20" i="3"/>
  <c r="Q20" i="3"/>
  <c r="R20" i="3"/>
  <c r="M21" i="3"/>
  <c r="N21" i="3"/>
  <c r="O21" i="3"/>
  <c r="P21" i="3"/>
  <c r="Q21" i="3"/>
  <c r="R21" i="3"/>
  <c r="M22" i="3"/>
  <c r="N22" i="3"/>
  <c r="O22" i="3"/>
  <c r="P22" i="3"/>
  <c r="Q22" i="3"/>
  <c r="R22" i="3"/>
  <c r="M23" i="3"/>
  <c r="N23" i="3"/>
  <c r="O23" i="3"/>
  <c r="P23" i="3"/>
  <c r="Q23" i="3"/>
  <c r="R23" i="3"/>
  <c r="M24" i="3"/>
  <c r="N24" i="3"/>
  <c r="O24" i="3"/>
  <c r="P24" i="3"/>
  <c r="Q24" i="3"/>
  <c r="R24" i="3"/>
  <c r="M25" i="3"/>
  <c r="N25" i="3"/>
  <c r="O25" i="3"/>
  <c r="P25" i="3"/>
  <c r="Q25" i="3"/>
  <c r="R25" i="3"/>
  <c r="M26" i="3"/>
  <c r="N26" i="3"/>
  <c r="O26" i="3"/>
  <c r="P26" i="3"/>
  <c r="Q26" i="3"/>
  <c r="R26" i="3"/>
  <c r="M27" i="3"/>
  <c r="N27" i="3"/>
  <c r="O27" i="3"/>
  <c r="P27" i="3"/>
  <c r="Q27" i="3"/>
  <c r="R27" i="3"/>
  <c r="M28" i="3"/>
  <c r="N28" i="3"/>
  <c r="O28" i="3"/>
  <c r="P28" i="3"/>
  <c r="Q28" i="3"/>
  <c r="R28" i="3"/>
  <c r="M29" i="3"/>
  <c r="N29" i="3"/>
  <c r="O29" i="3"/>
  <c r="P29" i="3"/>
  <c r="Q29" i="3"/>
  <c r="R29" i="3"/>
  <c r="M30" i="3"/>
  <c r="N30" i="3"/>
  <c r="O30" i="3"/>
  <c r="P30" i="3"/>
  <c r="Q30" i="3"/>
  <c r="R30" i="3"/>
  <c r="M31" i="3"/>
  <c r="N31" i="3"/>
  <c r="O31" i="3"/>
  <c r="P31" i="3"/>
  <c r="Q31" i="3"/>
  <c r="R31" i="3"/>
  <c r="M32" i="3"/>
  <c r="N32" i="3"/>
  <c r="O32" i="3"/>
  <c r="P32" i="3"/>
  <c r="Q32" i="3"/>
  <c r="R32" i="3"/>
  <c r="M33" i="3"/>
  <c r="N33" i="3"/>
  <c r="O33" i="3"/>
  <c r="P33" i="3"/>
  <c r="Q33" i="3"/>
  <c r="R33" i="3"/>
  <c r="M34" i="3"/>
  <c r="N34" i="3"/>
  <c r="O34" i="3"/>
  <c r="P34" i="3"/>
  <c r="Q34" i="3"/>
  <c r="R34" i="3"/>
  <c r="M35" i="3"/>
  <c r="N35" i="3"/>
  <c r="O35" i="3"/>
  <c r="P35" i="3"/>
  <c r="Q35" i="3"/>
  <c r="R35" i="3"/>
  <c r="M36" i="3"/>
  <c r="N36" i="3"/>
  <c r="O36" i="3"/>
  <c r="P36" i="3"/>
  <c r="Q36" i="3"/>
  <c r="R36" i="3"/>
  <c r="M37" i="3"/>
  <c r="N37" i="3"/>
  <c r="O37" i="3"/>
  <c r="P37" i="3"/>
  <c r="Q37" i="3"/>
  <c r="R37" i="3"/>
  <c r="M38" i="3"/>
  <c r="N38" i="3"/>
  <c r="O38" i="3"/>
  <c r="P38" i="3"/>
  <c r="Q38" i="3"/>
  <c r="R38" i="3"/>
  <c r="M39" i="3"/>
  <c r="N39" i="3"/>
  <c r="O39" i="3"/>
  <c r="P39" i="3"/>
  <c r="Q39" i="3"/>
  <c r="R39" i="3"/>
  <c r="M40" i="3"/>
  <c r="N40" i="3"/>
  <c r="O40" i="3"/>
  <c r="P40" i="3"/>
  <c r="Q40" i="3"/>
  <c r="R40" i="3"/>
  <c r="M41" i="3"/>
  <c r="N41" i="3"/>
  <c r="O41" i="3"/>
  <c r="P41" i="3"/>
  <c r="Q41" i="3"/>
  <c r="R41" i="3"/>
  <c r="M42" i="3"/>
  <c r="N42" i="3"/>
  <c r="O42" i="3"/>
  <c r="P42" i="3"/>
  <c r="Q42" i="3"/>
  <c r="R42" i="3"/>
  <c r="M43" i="3"/>
  <c r="N43" i="3"/>
  <c r="O43" i="3"/>
  <c r="P43" i="3"/>
  <c r="Q43" i="3"/>
  <c r="R43" i="3"/>
  <c r="M44" i="3"/>
  <c r="N44" i="3"/>
  <c r="O44" i="3"/>
  <c r="P44" i="3"/>
  <c r="Q44" i="3"/>
  <c r="R44" i="3"/>
  <c r="M45" i="3"/>
  <c r="N45" i="3"/>
  <c r="O45" i="3"/>
  <c r="P45" i="3"/>
  <c r="Q45" i="3"/>
  <c r="R45" i="3"/>
  <c r="M46" i="3"/>
  <c r="N46" i="3"/>
  <c r="O46" i="3"/>
  <c r="P46" i="3"/>
  <c r="Q46" i="3"/>
  <c r="R46" i="3"/>
  <c r="M47" i="3"/>
  <c r="N47" i="3"/>
  <c r="O47" i="3"/>
  <c r="P47" i="3"/>
  <c r="Q47" i="3"/>
  <c r="R47" i="3"/>
  <c r="M48" i="3"/>
  <c r="N48" i="3"/>
  <c r="O48" i="3"/>
  <c r="P48" i="3"/>
  <c r="Q48" i="3"/>
  <c r="R48" i="3"/>
  <c r="M49" i="3"/>
  <c r="N49" i="3"/>
  <c r="O49" i="3"/>
  <c r="P49" i="3"/>
  <c r="Q49" i="3"/>
  <c r="R49" i="3"/>
  <c r="M51" i="3"/>
  <c r="N51" i="3"/>
  <c r="O51" i="3"/>
  <c r="P51" i="3"/>
  <c r="Q51" i="3"/>
  <c r="R51" i="3"/>
  <c r="M52" i="3"/>
  <c r="N52" i="3"/>
  <c r="O52" i="3"/>
  <c r="P52" i="3"/>
  <c r="Q52" i="3"/>
  <c r="R52" i="3"/>
  <c r="N2" i="3"/>
  <c r="O2" i="3"/>
  <c r="P2" i="3"/>
  <c r="Q2" i="3"/>
  <c r="R2" i="3"/>
  <c r="M2" i="3"/>
  <c r="G21" i="2"/>
  <c r="G20" i="4"/>
  <c r="G14" i="2"/>
  <c r="G13" i="4"/>
  <c r="G12" i="4"/>
  <c r="S40" i="1"/>
  <c r="D11" i="2"/>
  <c r="F10" i="4"/>
  <c r="G11" i="2"/>
  <c r="D3" i="2"/>
  <c r="U2" i="3"/>
  <c r="U34" i="3"/>
  <c r="U22" i="3"/>
  <c r="U10" i="3"/>
  <c r="U44" i="3"/>
  <c r="U32" i="3"/>
  <c r="U20" i="3"/>
  <c r="U8" i="3"/>
  <c r="U52" i="3"/>
  <c r="U48" i="3"/>
  <c r="U46" i="3"/>
  <c r="U42" i="3"/>
  <c r="U40" i="3"/>
  <c r="U38" i="3"/>
  <c r="U36" i="3"/>
  <c r="U30" i="3"/>
  <c r="U28" i="3"/>
  <c r="U26" i="3"/>
  <c r="U18" i="3"/>
  <c r="U16" i="3"/>
  <c r="U14" i="3"/>
  <c r="U12" i="3"/>
  <c r="U6" i="3"/>
  <c r="U4" i="3"/>
  <c r="U43" i="3"/>
  <c r="U31" i="3"/>
  <c r="U19" i="3"/>
  <c r="U7" i="3"/>
  <c r="U51" i="3"/>
  <c r="U49" i="3"/>
  <c r="U47" i="3"/>
  <c r="U45" i="3"/>
  <c r="U41" i="3"/>
  <c r="U39" i="3"/>
  <c r="U37" i="3"/>
  <c r="U35" i="3"/>
  <c r="U33" i="3"/>
  <c r="U29" i="3"/>
  <c r="U27" i="3"/>
  <c r="U25" i="3"/>
  <c r="U23" i="3"/>
  <c r="U21" i="3"/>
  <c r="U17" i="3"/>
  <c r="U15" i="3"/>
  <c r="U13" i="3"/>
  <c r="U11" i="3"/>
  <c r="U9" i="3"/>
  <c r="U5" i="3"/>
  <c r="U3" i="3"/>
  <c r="D32" i="2"/>
  <c r="F31" i="4"/>
  <c r="G32" i="2"/>
  <c r="G31" i="4"/>
  <c r="G10" i="4"/>
  <c r="F2" i="4"/>
  <c r="G3" i="2"/>
  <c r="G2" i="4"/>
  <c r="G54" i="4"/>
  <c r="U53" i="3"/>
  <c r="V11" i="3"/>
  <c r="V7" i="3"/>
  <c r="V49" i="3"/>
  <c r="V39" i="3"/>
  <c r="V30" i="3"/>
  <c r="V47" i="3"/>
  <c r="V46" i="3"/>
  <c r="V25" i="3"/>
  <c r="W25" i="3"/>
  <c r="H25" i="4"/>
  <c r="I25" i="4"/>
  <c r="V9" i="3"/>
  <c r="W9" i="3"/>
  <c r="H9" i="4"/>
  <c r="I9" i="4"/>
  <c r="V40" i="3"/>
  <c r="W40" i="3"/>
  <c r="H40" i="4"/>
  <c r="I40" i="4"/>
  <c r="V28" i="3"/>
  <c r="W28" i="3"/>
  <c r="H28" i="4"/>
  <c r="I28" i="4"/>
  <c r="V8" i="3"/>
  <c r="W8" i="3"/>
  <c r="H8" i="4"/>
  <c r="I8" i="4"/>
  <c r="V29" i="3"/>
  <c r="W29" i="3"/>
  <c r="H29" i="4"/>
  <c r="I29" i="4"/>
  <c r="V52" i="3"/>
  <c r="V19" i="3"/>
  <c r="V14" i="3"/>
  <c r="W14" i="3"/>
  <c r="H14" i="4"/>
  <c r="I14" i="4"/>
  <c r="V51" i="3"/>
  <c r="W51" i="3"/>
  <c r="H51" i="4"/>
  <c r="I51" i="4"/>
  <c r="V37" i="3"/>
  <c r="W37" i="3"/>
  <c r="H37" i="4"/>
  <c r="I37" i="4"/>
  <c r="V22" i="3"/>
  <c r="W22" i="3"/>
  <c r="H22" i="4"/>
  <c r="I22" i="4"/>
  <c r="V2" i="3"/>
  <c r="W2" i="3"/>
  <c r="V23" i="3"/>
  <c r="W23" i="3"/>
  <c r="H23" i="4"/>
  <c r="I23" i="4"/>
  <c r="V31" i="3"/>
  <c r="W31" i="3"/>
  <c r="H31" i="4"/>
  <c r="I31" i="4"/>
  <c r="V32" i="3"/>
  <c r="W32" i="3"/>
  <c r="H32" i="4"/>
  <c r="I32" i="4"/>
  <c r="V26" i="3"/>
  <c r="W26" i="3"/>
  <c r="I26" i="4"/>
  <c r="V36" i="3"/>
  <c r="W36" i="3"/>
  <c r="H36" i="4"/>
  <c r="I36" i="4"/>
  <c r="W39" i="3"/>
  <c r="H39" i="4"/>
  <c r="I39" i="4"/>
  <c r="V21" i="3"/>
  <c r="V3" i="3"/>
  <c r="W11" i="3"/>
  <c r="H11" i="4"/>
  <c r="I11" i="4"/>
  <c r="W49" i="3"/>
  <c r="H49" i="4"/>
  <c r="I49" i="4"/>
  <c r="V12" i="3"/>
  <c r="V41" i="3"/>
  <c r="V6" i="3"/>
  <c r="V42" i="3"/>
  <c r="V16" i="3"/>
  <c r="W7" i="3"/>
  <c r="H7" i="4"/>
  <c r="I7" i="4"/>
  <c r="W47" i="3"/>
  <c r="H47" i="4"/>
  <c r="I47" i="4"/>
  <c r="W52" i="3"/>
  <c r="H52" i="4"/>
  <c r="I52" i="4"/>
  <c r="V24" i="3"/>
  <c r="V50" i="3"/>
  <c r="V4" i="3"/>
  <c r="V35" i="3"/>
  <c r="V34" i="3"/>
  <c r="V33" i="3"/>
  <c r="V27" i="3"/>
  <c r="V38" i="3"/>
  <c r="V20" i="3"/>
  <c r="V5" i="3"/>
  <c r="W30" i="3"/>
  <c r="H30" i="4"/>
  <c r="I30" i="4"/>
  <c r="W46" i="3"/>
  <c r="H46" i="4"/>
  <c r="I46" i="4"/>
  <c r="W19" i="3"/>
  <c r="H19" i="4"/>
  <c r="I19" i="4"/>
  <c r="V48" i="3"/>
  <c r="V18" i="3"/>
  <c r="V17" i="3"/>
  <c r="V15" i="3"/>
  <c r="V10" i="3"/>
  <c r="V44" i="3"/>
  <c r="V13" i="3"/>
  <c r="V45" i="3"/>
  <c r="V43" i="3"/>
  <c r="H2" i="4"/>
  <c r="W17" i="3"/>
  <c r="H17" i="4"/>
  <c r="I17" i="4"/>
  <c r="W24" i="3"/>
  <c r="H24" i="4"/>
  <c r="I24" i="4"/>
  <c r="W42" i="3"/>
  <c r="H42" i="4"/>
  <c r="I42" i="4"/>
  <c r="W3" i="3"/>
  <c r="H3" i="4"/>
  <c r="I3" i="4"/>
  <c r="W6" i="3"/>
  <c r="H6" i="4"/>
  <c r="I6" i="4"/>
  <c r="W21" i="3"/>
  <c r="H21" i="4"/>
  <c r="I21" i="4"/>
  <c r="W48" i="3"/>
  <c r="H48" i="4"/>
  <c r="I48" i="4"/>
  <c r="W41" i="3"/>
  <c r="H41" i="4"/>
  <c r="I41" i="4"/>
  <c r="W4" i="3"/>
  <c r="H4" i="4"/>
  <c r="I4" i="4"/>
  <c r="W18" i="3"/>
  <c r="H18" i="4"/>
  <c r="I18" i="4"/>
  <c r="W5" i="3"/>
  <c r="H5" i="4"/>
  <c r="I5" i="4"/>
  <c r="W12" i="3"/>
  <c r="H12" i="4"/>
  <c r="I12" i="4"/>
  <c r="W16" i="3"/>
  <c r="H16" i="4"/>
  <c r="I16" i="4"/>
  <c r="W20" i="3"/>
  <c r="H20" i="4"/>
  <c r="I20" i="4"/>
  <c r="W50" i="3"/>
  <c r="H50" i="4"/>
  <c r="I50" i="4"/>
  <c r="W43" i="3"/>
  <c r="H43" i="4"/>
  <c r="I43" i="4"/>
  <c r="W38" i="3"/>
  <c r="H38" i="4"/>
  <c r="I38" i="4"/>
  <c r="W45" i="3"/>
  <c r="H45" i="4"/>
  <c r="I45" i="4"/>
  <c r="W27" i="3"/>
  <c r="H27" i="4"/>
  <c r="I27" i="4"/>
  <c r="W15" i="3"/>
  <c r="H15" i="4"/>
  <c r="I15" i="4"/>
  <c r="W13" i="3"/>
  <c r="H13" i="4"/>
  <c r="I13" i="4"/>
  <c r="W33" i="3"/>
  <c r="H33" i="4"/>
  <c r="I33" i="4"/>
  <c r="W44" i="3"/>
  <c r="H44" i="4"/>
  <c r="I44" i="4"/>
  <c r="W34" i="3"/>
  <c r="H34" i="4"/>
  <c r="I34" i="4"/>
  <c r="V53" i="3"/>
  <c r="W10" i="3"/>
  <c r="H10" i="4"/>
  <c r="I10" i="4"/>
  <c r="W35" i="3"/>
  <c r="H35" i="4"/>
  <c r="I35" i="4"/>
  <c r="G56" i="4"/>
  <c r="W53" i="3"/>
  <c r="I2" i="4"/>
  <c r="I54" i="4"/>
</calcChain>
</file>

<file path=xl/sharedStrings.xml><?xml version="1.0" encoding="utf-8"?>
<sst xmlns="http://schemas.openxmlformats.org/spreadsheetml/2006/main" count="10061" uniqueCount="1620">
  <si>
    <t xml:space="preserve">Descripción del indicador </t>
  </si>
  <si>
    <t xml:space="preserve">Metadato variable indicador </t>
  </si>
  <si>
    <t xml:space="preserve">Variable indicador </t>
  </si>
  <si>
    <t>Dimensión</t>
  </si>
  <si>
    <t>Nombre del indicador</t>
  </si>
  <si>
    <t>subsector</t>
  </si>
  <si>
    <t>Unidad de medida</t>
  </si>
  <si>
    <t>Periodicidad</t>
  </si>
  <si>
    <t>Cobertura geográfica</t>
  </si>
  <si>
    <t>Cobertura temporal</t>
  </si>
  <si>
    <t>Nombre de la Organización</t>
  </si>
  <si>
    <t xml:space="preserve">Nombre del cargo </t>
  </si>
  <si>
    <t>Fuente</t>
  </si>
  <si>
    <t>Nombre de la variable</t>
  </si>
  <si>
    <t xml:space="preserve">Valor  Variable </t>
  </si>
  <si>
    <t xml:space="preserve">Naturaleza del dato </t>
  </si>
  <si>
    <t xml:space="preserve">Tipo de dato variable </t>
  </si>
  <si>
    <t xml:space="preserve">Valor del indicador </t>
  </si>
  <si>
    <t>Tipo de dato Indicador</t>
  </si>
  <si>
    <t>Puntaje asignado para el índice de gobernanza</t>
  </si>
  <si>
    <t xml:space="preserve">Indique a que dimensión pertenece </t>
  </si>
  <si>
    <t>Indique el indicador que pertenece a la dimension</t>
  </si>
  <si>
    <t>Indique si es ( Energia, mineria, hidrocarburos o multisubsectorial)</t>
  </si>
  <si>
    <t xml:space="preserve">el indicador se mide por cual periodicidad </t>
  </si>
  <si>
    <t xml:space="preserve">alcance escala geografica </t>
  </si>
  <si>
    <t xml:space="preserve">año </t>
  </si>
  <si>
    <t xml:space="preserve">Nombre de la descripcion del indicador </t>
  </si>
  <si>
    <t xml:space="preserve">quien lo realizo </t>
  </si>
  <si>
    <t xml:space="preserve">escriba el nombre del profesional que esta a cargo de la metodologia del indicador </t>
  </si>
  <si>
    <t xml:space="preserve">fecha que descripcion metodologica del indicador </t>
  </si>
  <si>
    <t xml:space="preserve">entidad encargada de la variable del indicador </t>
  </si>
  <si>
    <t xml:space="preserve">fecha de publicacion de la variable </t>
  </si>
  <si>
    <t xml:space="preserve">Escriba el nombre de la variable del indicador  </t>
  </si>
  <si>
    <t xml:space="preserve">Escriba el valor de la variable </t>
  </si>
  <si>
    <t xml:space="preserve">Gestión_y_Evaluación_Ambiental </t>
  </si>
  <si>
    <t>19. Licenciamiento Ambiental</t>
  </si>
  <si>
    <t xml:space="preserve">Multisubsectorial </t>
  </si>
  <si>
    <t>Porcentaje (%)</t>
  </si>
  <si>
    <t>Anual</t>
  </si>
  <si>
    <t>Nacional</t>
  </si>
  <si>
    <t>Natalia Pacheco Salazar</t>
  </si>
  <si>
    <t>Autoridad Nacional de Licencias Ambientales</t>
  </si>
  <si>
    <t>Subdirección de Evaluación de Licencias Ambientales: OELA – SILA, 2023</t>
  </si>
  <si>
    <t>19.1. Licencias ambientales otorgadas subsector energia</t>
  </si>
  <si>
    <t>Atributo</t>
  </si>
  <si>
    <t>Cuantitativo</t>
  </si>
  <si>
    <t>Entero (Integer int)</t>
  </si>
  <si>
    <t>Flotante (Float  Double)</t>
  </si>
  <si>
    <t>19.2. Licencias ambientales solicitadas subsector energia</t>
  </si>
  <si>
    <t>19.3. Licencias ambientales otorgadas subsector Hidrocarburos</t>
  </si>
  <si>
    <t>19.4.Licencias ambientales solicitadas subsector Hidrocarburos</t>
  </si>
  <si>
    <t>19.5. Licencias ambientales otorgadas subsector mineria</t>
  </si>
  <si>
    <t>19.6. Licencias ambientales solicitadas subsector Mineria)</t>
  </si>
  <si>
    <t>Normativa</t>
  </si>
  <si>
    <t>1.Reconocimiento y protección de los derechos ambientales en la política sectorial de derechos humanos</t>
  </si>
  <si>
    <t>No</t>
  </si>
  <si>
    <t>Cualitativo</t>
  </si>
  <si>
    <t>Cadena de texto (String str).</t>
  </si>
  <si>
    <t xml:space="preserve">Sociales </t>
  </si>
  <si>
    <t>9. Participación ciudadana</t>
  </si>
  <si>
    <t>9.1.1.sumatoria asistencia evento asistencia Informativo </t>
  </si>
  <si>
    <t>9.1.2. sumatoria asistencia evento Toma de Decisiones Participativas </t>
  </si>
  <si>
    <t>9.1.3.sumatoria asistencia evento Pedagógico </t>
  </si>
  <si>
    <t>9.1.4.sumatoria asistencia evento Planeación Participativa </t>
  </si>
  <si>
    <t>9.1.5.Resolución de Conflictos </t>
  </si>
  <si>
    <t xml:space="preserve">91.6. Sumatorio asistentes </t>
  </si>
  <si>
    <t>9.2.1. Informativo </t>
  </si>
  <si>
    <t>9.2.2.Toma de Decisiones Participativas </t>
  </si>
  <si>
    <t>9.2.3.Pedagógico </t>
  </si>
  <si>
    <t>9.2.4.Planeación Participativa </t>
  </si>
  <si>
    <t>9.2.5.Resolución de Conflictos </t>
  </si>
  <si>
    <t>10. Interacción de género y enfoque diferencial</t>
  </si>
  <si>
    <t xml:space="preserve">10.1.1.Mujeres 2022 </t>
  </si>
  <si>
    <t xml:space="preserve">10.1.2.Adulto mayor 2022 </t>
  </si>
  <si>
    <t xml:space="preserve">10.1.3.Población con discapacidad 2022 </t>
  </si>
  <si>
    <t xml:space="preserve">10.1.4.Grupos étnicos 2022 </t>
  </si>
  <si>
    <t xml:space="preserve">10.1.5.Desplazados 2022 </t>
  </si>
  <si>
    <t xml:space="preserve">10.1.6.Víctimas del conflicto armado 2022 </t>
  </si>
  <si>
    <t xml:space="preserve">10.1.7.Interacción anual 2022 </t>
  </si>
  <si>
    <t xml:space="preserve">10.2.1.Mujeres 2023 </t>
  </si>
  <si>
    <t xml:space="preserve">10.2.2.Adulto mayor 2023 </t>
  </si>
  <si>
    <t xml:space="preserve">10.2.3.Población con discapacidad 2022 </t>
  </si>
  <si>
    <t xml:space="preserve">10.2.4.Grupos étnicos 2023 </t>
  </si>
  <si>
    <t xml:space="preserve">10.2.5.Desplazados 2023 </t>
  </si>
  <si>
    <t xml:space="preserve">10.2.6.Víctimas del conflicto armado 2023 </t>
  </si>
  <si>
    <t xml:space="preserve">10.2.7.Interacción anual 2023 </t>
  </si>
  <si>
    <t xml:space="preserve">11. Conflictividad socioambiental </t>
  </si>
  <si>
    <t xml:space="preserve">11.1. Conflictos sociales </t>
  </si>
  <si>
    <t xml:space="preserve">11.2. Conflictos ambientales </t>
  </si>
  <si>
    <t xml:space="preserve">11.3. Conflictos compartidos </t>
  </si>
  <si>
    <t>11.4.Total conflictos sociales ambientales</t>
  </si>
  <si>
    <t xml:space="preserve">11.5. Total conflictos dentro de la matriz </t>
  </si>
  <si>
    <t>12. Cumplimiento a PQRSD</t>
  </si>
  <si>
    <t>Transición_Energética</t>
  </si>
  <si>
    <t>30. Participación de las FNCER en la matriz energética eléctrica.</t>
  </si>
  <si>
    <t>30.1.1.  Generacion Biomasa (GWh) 2022</t>
  </si>
  <si>
    <t>30.1.2. Generación Eolica (GWh) 2022</t>
  </si>
  <si>
    <t>30.1.3. Generación Solar (GWh) 2022</t>
  </si>
  <si>
    <t>30.1.4. Generación Pequeñas Centrales Hidroelectricas 2022</t>
  </si>
  <si>
    <t>30.1.5. GBESP 2022</t>
  </si>
  <si>
    <t>30.1.6. Generación Total de la Matriz Eléctrica (GTE) 2022</t>
  </si>
  <si>
    <t>30.2.1.  Generacion Biomasa (GWh) 2022</t>
  </si>
  <si>
    <t>30.2.2. Generación Eolica (GWh) 2022</t>
  </si>
  <si>
    <t>30.2.3. Generación Solar (GWh) 2022</t>
  </si>
  <si>
    <t>30.2.4. Generación Pequeñas Centrales Hidroelectricas 2022</t>
  </si>
  <si>
    <t>30.2.5. GBESP 2023</t>
  </si>
  <si>
    <t>30.2.6. Generación Total de la Matriz Eléctrica (GTE) 2023</t>
  </si>
  <si>
    <t>Nombre de la valor indicador</t>
  </si>
  <si>
    <t>Nombre del valor puntaje asignado</t>
  </si>
  <si>
    <t>N°</t>
  </si>
  <si>
    <t>Objetivos</t>
  </si>
  <si>
    <t>Índice / Indicador</t>
  </si>
  <si>
    <t>Criterio 1</t>
  </si>
  <si>
    <t>Criterio 2</t>
  </si>
  <si>
    <t>Criterio 3</t>
  </si>
  <si>
    <t>Criterio 4</t>
  </si>
  <si>
    <t>Criterio 5</t>
  </si>
  <si>
    <t>Criterio 6</t>
  </si>
  <si>
    <t>Total</t>
  </si>
  <si>
    <t>Normalización</t>
  </si>
  <si>
    <t>Análisis jurídico-normativo</t>
  </si>
  <si>
    <t>Robustez</t>
  </si>
  <si>
    <t>Legitimidad</t>
  </si>
  <si>
    <t>Reconocimiento y protección de los derechos ambientales en la política sectorial de derechos humanos</t>
  </si>
  <si>
    <t>Contexto favorable para el ejercicio de los derechos ambientales</t>
  </si>
  <si>
    <t>Equidad</t>
  </si>
  <si>
    <t>Reconocimiento, Participación, Transparencia</t>
  </si>
  <si>
    <t>Análisis de impacto regulatorio con dimensión ambiental</t>
  </si>
  <si>
    <t>Evaluación ex post de regulaciones</t>
  </si>
  <si>
    <t>Procesos de consulta pública en la producción normativa</t>
  </si>
  <si>
    <t>Análisis institucional</t>
  </si>
  <si>
    <t>Efectividad</t>
  </si>
  <si>
    <t>Coordinación, dirección, capacidad y eficiencia</t>
  </si>
  <si>
    <t>Puntaje del sector de minas y energía en el índice de Desempeño Institucional</t>
  </si>
  <si>
    <t>Coordinación intersectorial</t>
  </si>
  <si>
    <t>Reconocimiento y justicia</t>
  </si>
  <si>
    <t>Acceso a justicia</t>
  </si>
  <si>
    <t>Social</t>
  </si>
  <si>
    <t>Participación</t>
  </si>
  <si>
    <t>Participación ciudadana</t>
  </si>
  <si>
    <t>Reconocimiento</t>
  </si>
  <si>
    <t>Interacción de género y enfoque diferencial</t>
  </si>
  <si>
    <t>Justicia</t>
  </si>
  <si>
    <t>Conflictividad socioambiental</t>
  </si>
  <si>
    <t>Transparencia</t>
  </si>
  <si>
    <t>Cumplimiento a PQRSD</t>
  </si>
  <si>
    <t>Biofísica y ecológica</t>
  </si>
  <si>
    <t>Eficiencia</t>
  </si>
  <si>
    <t>Variación de la demanda hídrica</t>
  </si>
  <si>
    <t>Variación de la huella hídrica azul</t>
  </si>
  <si>
    <t>Variación del área compensada por cada subsector minero energético</t>
  </si>
  <si>
    <t>Área de superposición de cada subsector minero energético con determinantes ambientales</t>
  </si>
  <si>
    <t>Área de superposición de cada subsector minero energético con áreas prioritarias de conservación</t>
  </si>
  <si>
    <t>Gestión y evaluación ambiental</t>
  </si>
  <si>
    <t>Variación en la generación de residuos peligrosos (RESPEL) por unidad producida</t>
  </si>
  <si>
    <t>Receptividad</t>
  </si>
  <si>
    <t>Anticipación</t>
  </si>
  <si>
    <t>Licenciamiento Ambiental</t>
  </si>
  <si>
    <t>Responsabilidad</t>
  </si>
  <si>
    <t>Procesos sancionatorios ambientales</t>
  </si>
  <si>
    <t xml:space="preserve">Cambio climático y gestión del riesgo </t>
  </si>
  <si>
    <t>Flexibilidad y Adaptación</t>
  </si>
  <si>
    <t>Variación de emisiones de GEI del sector</t>
  </si>
  <si>
    <t>Tasa de variación de financiamiento climático</t>
  </si>
  <si>
    <t>Índice de vulnerabilidad climática</t>
  </si>
  <si>
    <t>Índice de Derrames de Hidrocarburos (IDH)</t>
  </si>
  <si>
    <t>Índice de Gravedad de Accidentes Mineros (IGAM)</t>
  </si>
  <si>
    <t>índice de Severidad de Accidentes Eléctricos (ISAE)</t>
  </si>
  <si>
    <t>Transición energética justa</t>
  </si>
  <si>
    <t>Variación de la intensidad energética por subsector</t>
  </si>
  <si>
    <t>Variación de la intensidad energética nacional</t>
  </si>
  <si>
    <t>Participación de las FNCER en la matriz energética primaria</t>
  </si>
  <si>
    <t>Participación de las FNCER en la matriz energética eléctrica.</t>
  </si>
  <si>
    <t>Producción de minerales estratégicos y críticos para la TEJ.</t>
  </si>
  <si>
    <t>Pobreza multidimensional en municipios productores de minerales estratégicos</t>
  </si>
  <si>
    <t>Económica</t>
  </si>
  <si>
    <t>Recaudo efectivo de regalías</t>
  </si>
  <si>
    <t>Regalías destinadas al sector ambiente y desarrollo sostenible</t>
  </si>
  <si>
    <t>Variación de proyectos del SGR dirigidos al sector ambiente y desarrollo sostenible</t>
  </si>
  <si>
    <t>Participación del sector minero energético en el PIB nacional</t>
  </si>
  <si>
    <t>Participación del sector minero energético en las exportaciones del país</t>
  </si>
  <si>
    <t xml:space="preserve">Subsector de hidrocarburos </t>
  </si>
  <si>
    <t>Pobreza multidimensional en municipios productores de hidrocarburos.</t>
  </si>
  <si>
    <t>Índice de cobertura y equidad territorial en municipios productores</t>
  </si>
  <si>
    <t>Participación de los hidrocarburos en la matriz energética (IPHME)</t>
  </si>
  <si>
    <t>Información</t>
  </si>
  <si>
    <t>Variación del stock de hidrocarburos</t>
  </si>
  <si>
    <t xml:space="preserve">Información </t>
  </si>
  <si>
    <t>Disponibilidad de reservas de hidrocarburos (R/P)</t>
  </si>
  <si>
    <t>Tasa de extracción de hidrocarburos (TEH)</t>
  </si>
  <si>
    <t xml:space="preserve">Subsector de minería </t>
  </si>
  <si>
    <t>Legitimidad - Cumplimiento legal</t>
  </si>
  <si>
    <t>Superposición de títulos mineros activos con áreas ambientales excluibles, restrictivas e informativas para la minería</t>
  </si>
  <si>
    <t>Superposición de áreas de reserva especial declaradas y solicitadas con áreas ambientales excluibles, restrictivas e informativas para la minería</t>
  </si>
  <si>
    <t>Capacidad - Capacidad institucional</t>
  </si>
  <si>
    <t>Procesos de formalización y registro minero</t>
  </si>
  <si>
    <t>Capacidad - Capacidad institucional para actuar</t>
  </si>
  <si>
    <t>Áreas recuperadas por gestión y control a la explotación ilegal de minerales</t>
  </si>
  <si>
    <t>Subsector de energía eléctrica</t>
  </si>
  <si>
    <t>Variación del Consumo de Energía Eléctrica en el país.</t>
  </si>
  <si>
    <t>Variación en el nivel de pobreza energética multidimensional nacional.</t>
  </si>
  <si>
    <t>Variación en la cobertura en el acceso al servicio de energía eléctrica en el país.</t>
  </si>
  <si>
    <t>Participación – Acceso a la Información</t>
  </si>
  <si>
    <t>Porcentaje de Informes de Sostenibilidad anuales publicados por empresas generadoras del país.</t>
  </si>
  <si>
    <t>Criterio 1 ¿El indicador tiene un relación directa y significativa con la definición de gobernanza? Si/No</t>
  </si>
  <si>
    <t>Criterio 2 ¿El indicador puede ser mejorado a través de la gestión del Ministerio de Minas y Energía? Si/No</t>
  </si>
  <si>
    <t>1.1.2. Número total de derechos ambientales reconocidos en derechos internacionales</t>
  </si>
  <si>
    <t>Criterio 3 ¿El indicador tiene relación con el cumplimiento normativo del sector minero o ambiental ? Si/No</t>
  </si>
  <si>
    <t>01. Reconocimiento y protección de los derechos ambientales.docx</t>
  </si>
  <si>
    <t xml:space="preserve">Ficha Metodologica </t>
  </si>
  <si>
    <t>Criterio 4¿La información requerida para la medición del indicador es generada por el Ministerio de Minas y Energía y/o sus entidades adscritas o vinculadas? Si/NO</t>
  </si>
  <si>
    <t>Criterio 5 ¿El indicador tiene una frecuencia de medición igual o inferior a un año? Si/No</t>
  </si>
  <si>
    <t>Criterio 6¿A partir de los resultados del indicador, el Ministerio de Minas y Energía puede emprender acciones que se concreten en la reglamentación del sector o en la definición de políticas, planes, programas o proyectos? Si/No</t>
  </si>
  <si>
    <t>Criterio 7
Calificación promedio de la dimensión al que corresponde el indicador, en los talleres regionales</t>
  </si>
  <si>
    <t>Criterio 8
Calificación promedio del indicador en los talleres regionales</t>
  </si>
  <si>
    <t>Si</t>
  </si>
  <si>
    <t>Resultado del indicador 
(en sus unidades)</t>
  </si>
  <si>
    <t>Puntaje para la gobernanza</t>
  </si>
  <si>
    <t>Puntaje máximo del indicador</t>
  </si>
  <si>
    <t>Porcentaje alcanzado</t>
  </si>
  <si>
    <t>02. Contexto favorable para el ejercicio de los derechos ambientales.docx</t>
  </si>
  <si>
    <t>03. Análisis de impacto regulatorio con dimensión ambiental.docx</t>
  </si>
  <si>
    <t>04. Evaluación ex post de regulaciones.docx</t>
  </si>
  <si>
    <t>05. Procesos de consulta pública en la producción normativa.docx</t>
  </si>
  <si>
    <t>06. Puntaje del SME en el Índice de Desempaño Institucional.docx</t>
  </si>
  <si>
    <t>07. Coordinación interinstitucional.docx</t>
  </si>
  <si>
    <t>08. Acceso a justicia.docx</t>
  </si>
  <si>
    <t>09. Participación Ciudadana.docx</t>
  </si>
  <si>
    <t>10. Interacción de género y enfoque diferencial.docx</t>
  </si>
  <si>
    <t>11. Conflictividad Socioambiental.docx</t>
  </si>
  <si>
    <t>12. Cumplimiento a PQRSD (peticiones, quejas, reclamos, sugerencias y denuncias).docx</t>
  </si>
  <si>
    <t>13. Variación de la demanda hídrica.docx</t>
  </si>
  <si>
    <t>14. Variación de la huella hídrica azul.docx</t>
  </si>
  <si>
    <t>15. Variación del área compensada para el sector minero energético.docx</t>
  </si>
  <si>
    <t>16. Área de superposición de cada subsector minero energético con determinantes ambientales..docx</t>
  </si>
  <si>
    <t>17. Área de superposición de cada subsector minero energético con áreas prioritarias de conservación..docx</t>
  </si>
  <si>
    <t>18. Variación de la generación de residuos peligrosos (respel) por unidad producida.docx</t>
  </si>
  <si>
    <t>19. Licenciamiento Ambiental.docx</t>
  </si>
  <si>
    <t>20. Procesos Sancionatorios Ambientales.docx</t>
  </si>
  <si>
    <t>21. Variación de emisiones de GEI del SME.docx</t>
  </si>
  <si>
    <t>22. Tasa de Variación del Financiamiento Climático.docx</t>
  </si>
  <si>
    <t>23. Índice de vulnerabilidad climática.docx</t>
  </si>
  <si>
    <t>24. Índice de Derrames de Hidrocarburos (IDH).docx</t>
  </si>
  <si>
    <t>25. Índice de Gravedad de Accidentes Mineros (IGAM).docx</t>
  </si>
  <si>
    <t>26. Índice de Severidad de Accidentes Eléctricos (ISAE).docx</t>
  </si>
  <si>
    <t>27. Variación de la intensidad energética del sector minero energético.docx</t>
  </si>
  <si>
    <t>28. Variación de la intensidad energética nacional.docx</t>
  </si>
  <si>
    <t>29. Participación de las FNCER en la matriz energética primaria..docx</t>
  </si>
  <si>
    <t>30. Participación de las FNCER en la matriz energética eléctrica.docx</t>
  </si>
  <si>
    <t>31. Producción de Minerales Estratégicos y Críticos para la TEJ.docx</t>
  </si>
  <si>
    <t>32. Pobreza multidimensional en municipios productores de minerales estratégicos para la Transición Energética Justa..docx</t>
  </si>
  <si>
    <t>33. Recaudo efectivo de Regalías.docx</t>
  </si>
  <si>
    <t>34. Regalías destinadas al sector Ambiente y Desarrollo Sostenible.docx</t>
  </si>
  <si>
    <t>35. Variación del número de proyectos del SGR dirigidos al sector Ambiente y Desarrollo Sostenible.docx</t>
  </si>
  <si>
    <t>36. Participación del sector Minero Energético en el PIB nacional.docx</t>
  </si>
  <si>
    <t>37. Participación del sector Minero Energético en las exportaciones del país.docx</t>
  </si>
  <si>
    <t>38. Pobreza multidimensional en municipios productores de hidrocarburos..docx</t>
  </si>
  <si>
    <t>39. Cobertura y equidad territorial en municipios productores de hidrocarburos.docx</t>
  </si>
  <si>
    <t>40. Participación de los hidrocarburos en la matriz energética (IPHME).docx</t>
  </si>
  <si>
    <t>41. Variación del stock de hidrocarburos.docx</t>
  </si>
  <si>
    <t>42. Disponibilidad de reservas de hidrocarburos.docx</t>
  </si>
  <si>
    <t>43. Tasa de extracción de hidrocarburos (TEH).docx</t>
  </si>
  <si>
    <t>44. Superposición de títulos mineros activos con áreas ambientales excluibles....docx</t>
  </si>
  <si>
    <t>45. Superposición de áreas de reserva especial declaradas y solicitadas con áreas ambientales excluibles,....docx</t>
  </si>
  <si>
    <t>46. Procesos de formalización y registro Minero.docx</t>
  </si>
  <si>
    <t>47. Áreas recuperadas por gestión y control por explotación ilegal de minerales.docx</t>
  </si>
  <si>
    <t>48. Variación del Consumo de Energía Eléctrica en el país..docx</t>
  </si>
  <si>
    <t>49. Variación en el nivel de pobreza energética multidimensional nacional.docx</t>
  </si>
  <si>
    <t>50. Variación en la cobertura en el acceso al servicio de energía eléctrica en el país..docx</t>
  </si>
  <si>
    <t>51. Porcentaje de Informes de Sostenibilidad anuales publicados por empresas generadoras del país..docx</t>
  </si>
  <si>
    <t>Ministerio de minas y energia</t>
  </si>
  <si>
    <t xml:space="preserve">Instituto de Estudios Ambientales -IDEA-  </t>
  </si>
  <si>
    <t>Luis Fernando Sánchez Supelano</t>
  </si>
  <si>
    <t>28 de marzo de 2025</t>
  </si>
  <si>
    <t xml:space="preserve">1.1.3.Puntuación reconocimiento formal derechos ambientales </t>
  </si>
  <si>
    <t xml:space="preserve">1.2.1. Número de acciones  para implementar la Política Sectoria pública de Derechos Humanos  </t>
  </si>
  <si>
    <t>1.2.2.Acciones en específico para implementar la Política Sectoria pública de Derechos Humanos</t>
  </si>
  <si>
    <t xml:space="preserve">1.3.1.Revisión asignaciones presupuestales </t>
  </si>
  <si>
    <t xml:space="preserve">Puntaje indicador reconocimiento y protección derechos ambientales </t>
  </si>
  <si>
    <t xml:space="preserve">Se asigna puntaje definitivo para el indicador sumando los resultados obtenidos en el paso 4, 5 y 8 descrito en  Producto E: Documento técnico que contenga la metodología ajustada y validada para la definición y estimación de los indicadores de gobernanza ambiental del sector minero energético y el desarrollo metodológico para el cálculo de los indicadores de gobernanza para el año 2023. </t>
  </si>
  <si>
    <t>Porcentaje de los derechos ambientales en la política sectorial de derechos humanos</t>
  </si>
  <si>
    <t>2.Contexto favorable para el ejercicio de los derechos ambientales</t>
  </si>
  <si>
    <t>Suma de Porcentaje alcanzado</t>
  </si>
  <si>
    <t>Etiquetas de fila</t>
  </si>
  <si>
    <t>Total general</t>
  </si>
  <si>
    <t>Suma de Puntaje para la gobernanza</t>
  </si>
  <si>
    <t>Suma de Puntaje máximo del indicador</t>
  </si>
  <si>
    <t>Dimension</t>
  </si>
  <si>
    <t xml:space="preserve">Porcentaje </t>
  </si>
  <si>
    <t>Parte oculta</t>
  </si>
  <si>
    <t xml:space="preserve">Parte visble </t>
  </si>
  <si>
    <t xml:space="preserve">Base </t>
  </si>
  <si>
    <t xml:space="preserve">Indicadores </t>
  </si>
  <si>
    <t xml:space="preserve">Porcentaje restante </t>
  </si>
  <si>
    <t xml:space="preserve">Indicador </t>
  </si>
  <si>
    <t>Porcentaje</t>
  </si>
  <si>
    <t>2.1.1.Número Total de alertas tempranas con seguimiento durante el año</t>
  </si>
  <si>
    <t>2.1.2.Número Total de alertas tempranas durante el año</t>
  </si>
  <si>
    <t>2.1.3.puntaje por Gestión frente alertas tempranas</t>
  </si>
  <si>
    <t>2.2.1 número Total de alertas tempranas con cierre durante el año</t>
  </si>
  <si>
    <t>Puntuación contexto favorable ejercicio de los derechos ambientales</t>
  </si>
  <si>
    <t xml:space="preserve">3.Analisis de impacto regulatorio con dimension ambiental </t>
  </si>
  <si>
    <t>3.1.1.Numero de documentos que contienen analisis de variables ambientales</t>
  </si>
  <si>
    <t>3.1.2. Numero de estudios de impacto normativo realizados durante el año</t>
  </si>
  <si>
    <t>3.1.3.AIN/Analisis de la variable ambiental</t>
  </si>
  <si>
    <t xml:space="preserve">Analisis de impacto regulatorio con dimension ambiental </t>
  </si>
  <si>
    <t>Puntuación dimensión ambiental análisis de impacto normativo</t>
  </si>
  <si>
    <t>2.2.2.Puntaje por resultados frente alertas tempranas</t>
  </si>
  <si>
    <t>4.Evaluación ex post de regulaciones</t>
  </si>
  <si>
    <t>Baja</t>
  </si>
  <si>
    <t>4.1.1.Consideración necesidad evaluación ex post</t>
  </si>
  <si>
    <t>4.2.1.Numero de Documentos de evaluación expost</t>
  </si>
  <si>
    <t>4.2.1.Numero de Documentos que contiene la variable ambiental  evaluación expost</t>
  </si>
  <si>
    <t>4.2.3.Cantidad de evaluaciones expost que incorporaron el análisis de la variable ambiental</t>
  </si>
  <si>
    <t>Valoración puntaje evaluación ex post</t>
  </si>
  <si>
    <t>5. Procesos de consulta publica en la producción Normativa</t>
  </si>
  <si>
    <t>5.1.1. Numero de decretos sometidos a consultas</t>
  </si>
  <si>
    <t xml:space="preserve">5.1.2 Numero de decretos </t>
  </si>
  <si>
    <t>5.1.3. Formula dcretos en consulta/N decretos</t>
  </si>
  <si>
    <t>Procesos de consulta publica en la producción Normativa</t>
  </si>
  <si>
    <t>Puntaje consulta pública normatividad</t>
  </si>
  <si>
    <t xml:space="preserve">Analisis Institucional </t>
  </si>
  <si>
    <t xml:space="preserve">6. Puntaje del sector de minas y energia en el indice de desempeño  Institucional </t>
  </si>
  <si>
    <t xml:space="preserve">6.1.1. promedio obtenido en el sector de minas y energia del resultado desempeño institucional  </t>
  </si>
  <si>
    <t>6.1.2.Puntaje correspondiente al índice de gobernanza</t>
  </si>
  <si>
    <t>6.1.3.Puntaje obtenido en el Índice de desempeño instituciona</t>
  </si>
  <si>
    <t>6.1.4.Puntaje obtenido en el año de referencia en el IDI (POIDI)</t>
  </si>
  <si>
    <t xml:space="preserve">Puntaje del sector de minas y energia en el indice de desempeño  Institucional </t>
  </si>
  <si>
    <t>Puntuación promedio desempeño institucional</t>
  </si>
  <si>
    <t xml:space="preserve">7. Coordinación interinstitucional </t>
  </si>
  <si>
    <t>7.1.1.Puntuación existencia y funcionamiento mecanismos coordinación</t>
  </si>
  <si>
    <t>7.1.2.Nivel de cumplimiento de los instrumentos de coordinación interinstitucional a través de a) derecho de petición a la Oficina de Asuntos Ambientales y Sociales del Ministerio de Minas y Energía, b) revisiones informes de rendición de cuentas, c) informes de seguimiento a los planes formulados en el contexto de los mecanismos de coordinación interinstitucional</t>
  </si>
  <si>
    <t>Alto</t>
  </si>
  <si>
    <t>Interpretación Puntaje total para el índice</t>
  </si>
  <si>
    <t xml:space="preserve">Coordinación interinstitucional </t>
  </si>
  <si>
    <t>8. Acceso a la justicia</t>
  </si>
  <si>
    <t>Acceso a la justicia</t>
  </si>
  <si>
    <t>8.1.2. Numero de procesos judiciales con órdenes directas para el Ministerio de Minas y Energía</t>
  </si>
  <si>
    <t>8.1.1. Numero de ordenes que no registran acciones pendientes de realizar y por tanto se entienden como cumplidas</t>
  </si>
  <si>
    <t>8.1.3. Formula relacion que se entienden como cumplidas y numero de procesos directos del MME</t>
  </si>
  <si>
    <t>Puntuación cumplimiento órdenes judiciales</t>
  </si>
  <si>
    <t xml:space="preserve"> Participación ciudadana</t>
  </si>
  <si>
    <t>Interpretación del indicador de Participación Ciudadana</t>
  </si>
  <si>
    <t xml:space="preserve">10.3.1. %Mujeres 2022 </t>
  </si>
  <si>
    <t xml:space="preserve">10.3.2.%Adulto mayor 2022 </t>
  </si>
  <si>
    <t xml:space="preserve">10.3.3.%Población con discapacidad 2022 </t>
  </si>
  <si>
    <t xml:space="preserve">10.3.4.%Grupos étnicos 2022 </t>
  </si>
  <si>
    <t xml:space="preserve">10.3.5. %Desplazados 2022 </t>
  </si>
  <si>
    <t xml:space="preserve">10.3.6.%Víctimas del conflicto armado 2022 </t>
  </si>
  <si>
    <t xml:space="preserve">10.4.1.%Mujeres 4043 </t>
  </si>
  <si>
    <t xml:space="preserve">10.4.2.%Adulto mayor 4043 </t>
  </si>
  <si>
    <t xml:space="preserve">10.4.3.%Población con discapacidad 4044 </t>
  </si>
  <si>
    <t xml:space="preserve">10.4.4.%Grupos étnicos 4043 </t>
  </si>
  <si>
    <t xml:space="preserve">10.4.5.%Desplazados 4043 </t>
  </si>
  <si>
    <t xml:space="preserve">10.4.6.%Víctimas del conflicto armado 4043 </t>
  </si>
  <si>
    <t>10.5.1.𝐼𝑛𝑡𝑒𝑟𝑎𝑐𝑐𝑖ó𝑛 𝑚𝑢𝑗𝑒𝑟𝑒𝑠 𝑐𝑎𝑏𝑒𝑧𝑎 𝑑𝑒 𝑓𝑎𝑚𝑖𝑙𝑖𝑎</t>
  </si>
  <si>
    <t>10.5.2. 𝐼𝑛𝑡𝑒𝑟𝑎𝑐𝑐𝑖ó𝑛 𝑎𝑑𝑢𝑙𝑡𝑜 𝑚𝑎𝑦𝑜𝑟</t>
  </si>
  <si>
    <t>10.5.3.𝐼𝑛𝑡𝑒𝑟𝑎𝑐𝑐𝑖ó𝑛 𝑝𝑜𝑏𝑙𝑎𝑐𝑖ó𝑛 𝑐𝑜𝑛 𝑑𝑖𝑠𝑐𝑎𝑝𝑎𝑐𝑖𝑑𝑎𝑑</t>
  </si>
  <si>
    <t>10.5.4. 𝐼𝑛𝑡𝑒𝑟𝑎𝑐𝑐𝑖ó𝑛 𝑔𝑟𝑢𝑝𝑜 é𝑡𝑛𝑖𝑐𝑜</t>
  </si>
  <si>
    <t>10.5.5.𝐼𝑛𝑡𝑒𝑟𝑎𝑐𝑐𝑖ó𝑛 𝑑𝑒𝑠𝑝𝑙𝑎𝑧𝑎𝑑𝑜𝑠</t>
  </si>
  <si>
    <t>10.5.6.𝐼𝑛𝑡𝑒𝑟𝑎𝑐𝑐𝑖ó𝑛 𝑣í𝑐𝑡𝑖𝑚𝑎𝑠 𝑑𝑒𝑙 𝑐𝑜𝑛𝑓𝑙𝑖𝑐𝑡𝑜</t>
  </si>
  <si>
    <t>Interpretación del indicador de interacción de género y enfoque diferencial</t>
  </si>
  <si>
    <t xml:space="preserve">Conflictividad socioambiental </t>
  </si>
  <si>
    <t>Interpretación del indicador de Conflictividad socioambiental</t>
  </si>
  <si>
    <t>12.1.1. Porcentaje de PQRS  atendidas I informe 2023</t>
  </si>
  <si>
    <t>12.1.2. Porcentaje de PQRS  atendidas II informe 2023</t>
  </si>
  <si>
    <t>12.1.3. Porcentaje de PQRS  atendidas II informe 2023</t>
  </si>
  <si>
    <t>12.1.4. Porcentaje de PQRS  atendidas IV informe 2023</t>
  </si>
  <si>
    <t>Interpretación del indicador de Cumplimiento a PQRSD</t>
  </si>
  <si>
    <t>Biofisica y ecologica</t>
  </si>
  <si>
    <t>13.Variación de la demanda hídrica</t>
  </si>
  <si>
    <t>13.1.1. Estudio Nacional del Agua Energia 2012</t>
  </si>
  <si>
    <t>13.1.2. Estudio Nacional del Agua Mineria 2012</t>
  </si>
  <si>
    <t>13.1.3. Estudio Nacional del Agua Hidrocarburos 2012</t>
  </si>
  <si>
    <t>13.1.3. Estudio Nacional del Agua Hidrocarburos 2016</t>
  </si>
  <si>
    <t>13.1.1. Estudio Nacional del Agua Energia 2016</t>
  </si>
  <si>
    <t>13.1.2. Estudio Nacional del Agua Mineria 2016</t>
  </si>
  <si>
    <t>13.1.1. Estudio Nacional del Agua Energia 2020</t>
  </si>
  <si>
    <t>13.1.2. Estudio Nacional del Agua Mineria 2020</t>
  </si>
  <si>
    <t>13.1.3. Estudio Nacional del Agua Hidrocarburos 2020</t>
  </si>
  <si>
    <t>13.2.1. Energia 2012-2016</t>
  </si>
  <si>
    <t>13.2.2. Mineria 2012-2016</t>
  </si>
  <si>
    <t>13.2.3. Hidrocarburos 2012-2016</t>
  </si>
  <si>
    <t>13.3.1. Energia 2016-2020</t>
  </si>
  <si>
    <t>13.3.2. Mineria 2016-2020</t>
  </si>
  <si>
    <t>13.3.3. Hidrocarburos 2016-2020</t>
  </si>
  <si>
    <t>Interpretación de resultados para la variación de la demanda hídrica</t>
  </si>
  <si>
    <t xml:space="preserve">14.1.1. Huella hidrica azul 2016 Energia </t>
  </si>
  <si>
    <t>14.1.1. Huella hidrica azul 2016 Mineria</t>
  </si>
  <si>
    <t>14.1.1. Huella hidrica azul 2016 Hidrocarburos</t>
  </si>
  <si>
    <t>14.2.1. Huella hidrica azul 2020 Energia</t>
  </si>
  <si>
    <t>14.2.2. Huella hidrica azul 2020 Mineria</t>
  </si>
  <si>
    <t>14.2.3. Huella hidrica azul 2020 Hidrocarburos</t>
  </si>
  <si>
    <t>14.3.1. Variación cuatrianual de la huella hídrica azul hidrocarburos</t>
  </si>
  <si>
    <t>14.3.2. Variación cuatrianual de la huella hídrica azul Mineria</t>
  </si>
  <si>
    <t>14.3.1. Variación cuatrianual de la huella hídrica azul Energia</t>
  </si>
  <si>
    <t>14.Variación de la huella hidrica  azul</t>
  </si>
  <si>
    <t>Variación de la huella hidrica azul</t>
  </si>
  <si>
    <t>15. Variación del área compensada para el sector minero energético</t>
  </si>
  <si>
    <t>15.1.1. Área compensada energia 2020</t>
  </si>
  <si>
    <t>15.1.2. Área compensada energia 2021</t>
  </si>
  <si>
    <t>15.1.3 Área compensada energia 2022</t>
  </si>
  <si>
    <t>15.1.4. Área compensada energia 2023</t>
  </si>
  <si>
    <t>15.2.1 Área compensada mineria  2020</t>
  </si>
  <si>
    <t>15.2.2. Área compensada mineria  2021</t>
  </si>
  <si>
    <t>15.2.3 Área compensada mineria  2022</t>
  </si>
  <si>
    <t>15.2.4. Área compensada mineria  2023</t>
  </si>
  <si>
    <t>15.3.1. Área compensada hidrocarburos  2020</t>
  </si>
  <si>
    <t>15.3.2. Área compensada hidrocarburos  2021</t>
  </si>
  <si>
    <t>15.3.3 Área compensada hidrocarburos  2022</t>
  </si>
  <si>
    <t>15.3.4. Área compensada hidrocarburos  2023</t>
  </si>
  <si>
    <t>15.4.1. Variación interanual del área compensada 2020-2021 Energia</t>
  </si>
  <si>
    <t>15.4.2. Variación interanual del área compensada 2021-2022 Energia</t>
  </si>
  <si>
    <t>15.4.3. Variación interanual del área compensada 2022-2023 Energia</t>
  </si>
  <si>
    <t>15.4.4. Variación interanual del área compensada 2020-2021 Mineria</t>
  </si>
  <si>
    <t>15.4.5. Variación interanual del área compensada 2021-2022 Mineria</t>
  </si>
  <si>
    <t>15.4.6. Variación interanual del área compensada 2022-2023 Mineria</t>
  </si>
  <si>
    <t>15.4.7. Variación interanual del área compensada 2020-2021 Hidrocarburos</t>
  </si>
  <si>
    <t>15.4.8. Variación interanual del área compensada 2021-2022 Hidrocarburos</t>
  </si>
  <si>
    <t>15.4.9. Variación interanual del área compensada 2022-2023 Hidrocarburos</t>
  </si>
  <si>
    <t>Variación del área compensada para el sector minero energético</t>
  </si>
  <si>
    <t>16. Área de superposición de cada subsector minero energético con determinantes ambientales</t>
  </si>
  <si>
    <t>16.1.1. Area en hectareas titulos en etapa de exploración</t>
  </si>
  <si>
    <t xml:space="preserve">16.1.4. Total de hectareas  titulos mineros activos </t>
  </si>
  <si>
    <t xml:space="preserve">16.2.1. Superposicion de titulos en etapa de exploración en areas excluibles </t>
  </si>
  <si>
    <t>16.2.5. Superposicion de titulos en etapa de construccion y montaje en areas restringidas</t>
  </si>
  <si>
    <t>16.3.1. Superposición titulos mineros activos  con áreas ambientales excluibles año 2023 (Hectáreas)</t>
  </si>
  <si>
    <t>16.3.2. Superposición titulos mineros activos con áreas ambientales restringidas año 2023 (Hectáreas)</t>
  </si>
  <si>
    <t>16.3.3. Superposición con áreas ambientales informativas año 2023 (Hectáreas)</t>
  </si>
  <si>
    <t>16.2.9. Superposicion de titulos en etapa de explotación en areas informativas</t>
  </si>
  <si>
    <t>16.4.1.Area en hectareas poligono en exploración</t>
  </si>
  <si>
    <t>16.4.2.Area en hectareas poligono en producción</t>
  </si>
  <si>
    <t>16.4.3. Area total en hectareas poligonos hidrocarburos</t>
  </si>
  <si>
    <t>16.5.1.Superposición con poligonos de hidrocarbruros en etapa de exploración determinantes ambientales para el año 2023 (Hectáreas)</t>
  </si>
  <si>
    <t>16.5.2.Superposición con poligonos de hidrocarbruros en etapa de producción determinantes ambientales para el año 2023 (Hectáreas)</t>
  </si>
  <si>
    <t>16.5.3. Total Superposición poligonos hidrocarburos con determinantes ambientales para el año 2023 (Hectáreas)</t>
  </si>
  <si>
    <t>16.6.1. servidumbre areas en hectareas Lineas de Transmisión Regional</t>
  </si>
  <si>
    <t>16.6.2. servidumbre areas en hectareas Lineas de Transmisión Nacional</t>
  </si>
  <si>
    <t>16.6.3. Area total lineas de transmisión</t>
  </si>
  <si>
    <t>16.2.2. Superposicion de titulos en etapa de construccion y montaje  en areas excluibles</t>
  </si>
  <si>
    <t>16.2.3. Superposicion de titulos en etapa de explotación en areas excluibles</t>
  </si>
  <si>
    <t xml:space="preserve">16.2.4. Superposicion de titulos en etapa de exploracion en areas restringidas </t>
  </si>
  <si>
    <t xml:space="preserve">16.2.6. Superposicion de titulos en etapa de explotación en areas restringidas </t>
  </si>
  <si>
    <t>16.2.7. Superposicion de titulos en etapa de  exploracion en areas informativas</t>
  </si>
  <si>
    <t>16.2.8. Superposicion de titulos en etapa de construcción y montaje en areas informativas</t>
  </si>
  <si>
    <t>16.8.4. Porcentaje de superposición titulos en etapa de exploración con areas excluibles</t>
  </si>
  <si>
    <t>16.8.5. Porcentaje de superposición titulos en etapa de exploración con areas excluibles</t>
  </si>
  <si>
    <t>16.8.6. Porcentaje de superposición titulos en etapa de exploración con areas excluibles</t>
  </si>
  <si>
    <t>16.8.7. Porcentaje de superposición titulos en etapa de exploración con areas restringidas</t>
  </si>
  <si>
    <t>16.8.8. Porcentaje de superposición titulos en etapa de exploración con areas restringidas</t>
  </si>
  <si>
    <t>16.8.9. Porcentaje de superposición titulos en etapa de exploración con areas restringidas</t>
  </si>
  <si>
    <t>16.8.10. Porcentaje de superposición titulos en etapa de exploración con areas informativas</t>
  </si>
  <si>
    <t>16.8.11. Porcentaje de superposición titulos en etapa de exploración con areas informativas</t>
  </si>
  <si>
    <t>16.8.12. Porcentaje de superposición titulos en etapa de exploración con areas informativas</t>
  </si>
  <si>
    <t>16.9.1. Superposición total de títulos activos con áreas ambientales Excluibles</t>
  </si>
  <si>
    <t>16.9.1. Superposición total de títulos activos con áreas ambientales Restringidas</t>
  </si>
  <si>
    <t>16.9.1. Superposición total de títulos activos con áreas ambientales Informativas</t>
  </si>
  <si>
    <t>16.10.1. %𝐴𝑆𝐷𝐴 𝑆𝑒𝑐𝑡𝑜𝑟 𝑚𝑖𝑛𝑒𝑟𝑜</t>
  </si>
  <si>
    <t>16.2.10.Área Ha total de titulos que presentan alguna superposicicion exploracion</t>
  </si>
  <si>
    <t>16.2.11. Área Ha total de titulos que presentan alguna superposicicion Construccion y Montaje</t>
  </si>
  <si>
    <t>16.2.12. Área  Ha total de titulos que presentan alguna superposicicion explotación</t>
  </si>
  <si>
    <t>16.5.4.  Área Ha total de poligonos hidrocarburos que presentan alguna superposicicion exploración</t>
  </si>
  <si>
    <t>16.5.5.Área Ha total de poligonos hidrocarburos que presentan alguna superposicicion producción</t>
  </si>
  <si>
    <t>16.11.1. Superposición de polígonos  hidrocarburos activos con determinantes ambientales exploracion</t>
  </si>
  <si>
    <t>16.11.2. Superposición de polígonos  hidrocarburos activos con determinantes ambientales producción</t>
  </si>
  <si>
    <t>16.12.1. %𝐴𝑆𝐷𝐴 𝑆𝑒𝑐𝑡𝑜𝑟 ℎ𝑖𝑑𝑟𝑜𝑐𝑎𝑟𝑏𝑢𝑟𝑜𝑠</t>
  </si>
  <si>
    <t>16.13.1. %𝐴𝑆𝐷𝐴 𝑆𝑒𝑐𝑡𝑜𝑟 𝑒𝑛𝑒𝑟𝑔í𝑎 𝑒𝑙é𝑐𝑡𝑟𝑖𝑐𝑎</t>
  </si>
  <si>
    <t>Interpretación de resultados para la superposición del sector minero energético con determinantes ambientales</t>
  </si>
  <si>
    <t>Criterios para calificar la variación del área compensada en el índice de gobernanza</t>
  </si>
  <si>
    <t>17. Área de superposición de cada subsector minero energetico con areas prioritarias de conservación</t>
  </si>
  <si>
    <t>17.1.1. Area en hectareas titulos en etapa de exploración</t>
  </si>
  <si>
    <t xml:space="preserve">17.1.4. Total de hectareas  titulos mineros activos </t>
  </si>
  <si>
    <t>16.1.2. Area en hectareas titulos en etapa de construcción y montaje</t>
  </si>
  <si>
    <t>16.1.3. Area en hectareas titulos en etapa de explotación</t>
  </si>
  <si>
    <t>17.1.2. Area en hectareas titulos en etapa de construcción y montaje</t>
  </si>
  <si>
    <t>17.1.3. Area en hectareas titulos en etapa de explotación</t>
  </si>
  <si>
    <t>17.2.1. Superposición con distribución de especies año 2023 (Hectáreas) titulos en etapa de exploración</t>
  </si>
  <si>
    <t>17.2.2. Superposición con distribución de especies año 2023 (Hectáreas) titulos en etapa de construcción y montaje</t>
  </si>
  <si>
    <t>17.2.3. Superposición con distribución de especies año 2023 (Hectáreas)s titulos en etapa de explotación</t>
  </si>
  <si>
    <t xml:space="preserve">17.2.4. Total Superposición con distribución de especies año 2023 (Hectáreas) titulos mineros activos </t>
  </si>
  <si>
    <t>17.3.1.Area en hectareas poligono en exploración</t>
  </si>
  <si>
    <t>17.3.2.Area en hectareas poligono en producción</t>
  </si>
  <si>
    <t>17.3.3. Area total en hectareas poligonos hidrocarburos</t>
  </si>
  <si>
    <t xml:space="preserve">17.4.1. poligono en exploración Superposición distribución de especies para el año </t>
  </si>
  <si>
    <t xml:space="preserve">17.4.2. poligono en producción Superposición distribución de especies para el año </t>
  </si>
  <si>
    <t xml:space="preserve">17.4.3. Superposición poligonos hidrocarburos distribución de especies para el año </t>
  </si>
  <si>
    <t>17.5.1. servidumbre areas en hectareas Lineas de Transmisión Regional</t>
  </si>
  <si>
    <t>17.5.2. servidumbre areas en hectareas Lineas de Transmisión Nacional</t>
  </si>
  <si>
    <t>17.5.3. Area total lineas de transmisión</t>
  </si>
  <si>
    <t>17.6.1. Superposición con distribución de especies para el año Lineas de Transmision Regional</t>
  </si>
  <si>
    <t>17.6.2. Superposición con distribución de especies para el año Lineas de Transmision Negional</t>
  </si>
  <si>
    <t>17.6.3. sumatoria Superposición con distribución de especies para el año transmisión</t>
  </si>
  <si>
    <t>17.2.6. área total de títulos o proyectos activos del subsector que presentan alguna superposición construcción y montaje</t>
  </si>
  <si>
    <t>17.2.7. área total de títulos o proyectos activos del subsector que presentan alguna superposición explotación</t>
  </si>
  <si>
    <t>17.2.5. área total de títulos o proyectos activos del subsector que presentan alguna superposición exploración</t>
  </si>
  <si>
    <t>17.4.4.área total de títulos o proyectos activos del subsector que presentan alguna superposición exploración hidrocarburos</t>
  </si>
  <si>
    <t>17.4.5.área total de títulos o proyectos activos del subsector que presentan alguna superposición produccíon hidrocarburos</t>
  </si>
  <si>
    <t>17.6.4. área total de títulos o proyectos activos del subsector que presentan alguna superposición lineas de transmisioón Regional</t>
  </si>
  <si>
    <t>17.6.5. área total de títulos o proyectos activos del subsector que presentan alguna superposición lineas de transmisioón Nacional</t>
  </si>
  <si>
    <t>17.7.1. %𝐴𝑆𝐴𝑃𝐶 Exploracion mineria</t>
  </si>
  <si>
    <t>17.8.1. %𝐴𝑆𝐷𝐴 𝑆𝑒𝑐𝑡𝑜𝑟 𝑚𝑖𝑛𝑒𝑟𝑜</t>
  </si>
  <si>
    <t>17.7.2. %𝐴𝑆𝐴𝑃𝐶 Exploracion Construcción y montaje  mineria</t>
  </si>
  <si>
    <t>17.9.1. %𝐴𝑆𝐴𝑃𝐶 Exploración hidrocarburos</t>
  </si>
  <si>
    <t xml:space="preserve">17.7.3. %𝐴𝑆𝐴𝑃𝐶 Explotación  mineria </t>
  </si>
  <si>
    <t>17.10.1. %𝐴𝑆𝐴𝑃𝐶 𝑆𝑒𝑐𝑡𝑜𝑟 ℎ𝑖𝑑𝑟𝑜𝑐𝑎𝑟𝑏𝑢𝑟𝑜𝑠</t>
  </si>
  <si>
    <t>17.9.2. %𝐴𝑆𝐴𝑃𝐶 Producción hidrocarburos</t>
  </si>
  <si>
    <t>17.11.1. %𝐴𝑆𝐴𝑃𝐶 Líneas de transmisión regional</t>
  </si>
  <si>
    <t>17.11.2. %𝐴𝑆𝐴𝑃𝐶 Líneas de transmisión nacional</t>
  </si>
  <si>
    <t>17.12.1. %𝐴𝑆𝐴𝑃𝐶 𝑆𝑒𝑐𝑡𝑜𝑟 𝑒𝑛𝑒𝑟𝑔í𝑎 𝑒𝑙é𝑐𝑡𝑟𝑖𝑐𝑎</t>
  </si>
  <si>
    <t>Interpretación de resultados para la superposición del sector minero energéticos con áreas de distribución de especies importantes para la conservación</t>
  </si>
  <si>
    <t>16.7.1. Superposición con determinantes ambientales para el año Hectáreas  lineas de transmisión</t>
  </si>
  <si>
    <t>18. Variación de la generación de residuos peligrosos (RESPEL) por unidad producida</t>
  </si>
  <si>
    <t>18.1.1. 0610 extracción de petróleo crudo</t>
  </si>
  <si>
    <t>18.1.2. 0910 actividades de apoyo para la extracción de petróleo y de gas natural</t>
  </si>
  <si>
    <t>18.1.3. fabricación de productos de la refinación del petróleo</t>
  </si>
  <si>
    <t>18.1.4. 0620 extracción de gas natural</t>
  </si>
  <si>
    <t>18.1.5. 4930 transporte por tuberías</t>
  </si>
  <si>
    <t>18.1.6. 3520 producción de gas, distribución de combustibles gaseosos por tuberías</t>
  </si>
  <si>
    <t>18.1.7. Total Actividad Económica CIIU Rev.4.0 A.C.</t>
  </si>
  <si>
    <t xml:space="preserve">18.2.1. Generación en Ton Respel de residuos peligrosos de hidrocarburos 2022 </t>
  </si>
  <si>
    <t>18.2.2. Generación en Ton Respel de residuos peligrosos de hidrocarburos 2023</t>
  </si>
  <si>
    <t xml:space="preserve">18.2.3. Generación en Ton Respel de residuos peligrosos de energia 2022 </t>
  </si>
  <si>
    <t>18.2.4. Generación en Ton Respel de residuos peligrosos de energia 2023</t>
  </si>
  <si>
    <t xml:space="preserve">18.2.5. Generación en Ton Respel de residuos peligrosos de mineria 2022 </t>
  </si>
  <si>
    <t>18.2.6. Generación en Ton Respel de residuos peligrosos de mineria 2023</t>
  </si>
  <si>
    <t>18.3.1. Producción gas año 2022 Millones de pies cúbicos por día calendario - MPCPDC</t>
  </si>
  <si>
    <t>18.3.2. Producción gas año 2022 En millones de pies cúbicos</t>
  </si>
  <si>
    <t>18.3.3. Producción gas año 2022 Pies cúbicos</t>
  </si>
  <si>
    <t>18.3.4. Producción gas año 2022 BEP</t>
  </si>
  <si>
    <t>18.4.1. Producción total hidrocarburos barril 2022 gas</t>
  </si>
  <si>
    <t>18.4.5. Total año 2022 producción gas y petroleo (Barriles)</t>
  </si>
  <si>
    <t>18.4.2. Producción total hidrocarburos barril 2023 gas</t>
  </si>
  <si>
    <t>18.4.3. Producción total hidrocarburos barril 2022 petroleo</t>
  </si>
  <si>
    <t>18.4.4. Producción total hidrocarburos barril 2023 petroleo</t>
  </si>
  <si>
    <t>18.4.6. Total año 2023 producción gas y petroleo (Barriles)</t>
  </si>
  <si>
    <t>18.5.1.  Producción total de minería por años (toneladas) 2022</t>
  </si>
  <si>
    <t>18.5.2.  Producción total de minería por años (toneladas) 2023</t>
  </si>
  <si>
    <t xml:space="preserve">18.6.1. Generación total de energía eléctrica (GWh) 2022 </t>
  </si>
  <si>
    <t>18.6.2 Generación total de energía eléctrica (GWh) 2023</t>
  </si>
  <si>
    <t>18.7.1. 𝑉𝑎𝑟𝑅𝑒𝑠𝑝𝑒𝑙 Hidrocarburos</t>
  </si>
  <si>
    <t>18.7.1. 𝑉𝑎𝑟𝑅𝑒𝑠𝑝𝑒𝑙 Mineria</t>
  </si>
  <si>
    <t>18.7.1. 𝑉𝑎𝑟𝑅𝑒𝑠𝑝𝑒𝑙 Energia</t>
  </si>
  <si>
    <t>Interpretación resultados indicador de variación de la generación de residuos peligrosos (Respel) por unidad producida</t>
  </si>
  <si>
    <t>Variación de la generación de residuos peligrosos (RESPEL) por unidad producida</t>
  </si>
  <si>
    <t>1.1.1. Número de derechos ambientales reconocidos en la política de derechos humanos del sector Minero Energético.</t>
  </si>
  <si>
    <t xml:space="preserve">1.2.3. Puntuación plan de acción e implementación Política de derechos humanos </t>
  </si>
  <si>
    <t>Interpretación resultados indicador licenciamiento ambiental</t>
  </si>
  <si>
    <t>Área de superposición de cada subsector minero energetico con areas prioritarias de conservación</t>
  </si>
  <si>
    <t xml:space="preserve">20. Procesos sancionatorios ambientales </t>
  </si>
  <si>
    <t xml:space="preserve">20.1.1. Procesos sancionatorios ambientales hidrocarburos </t>
  </si>
  <si>
    <t>20.1.2. Procesos sancionatorios ambientales mineria</t>
  </si>
  <si>
    <t>20.1.3. Procesos sancionatorios ambientales energia</t>
  </si>
  <si>
    <t>20.2.1. cantidad de proyectos, obras o actividades vigentes del sector hidrocarburos</t>
  </si>
  <si>
    <t>20.2.2. cantidad de proyectos, obras o actividades vigentes del sector mineria</t>
  </si>
  <si>
    <t>20.2.3. cantidad de proyectos, obras o actividades vigentes del sector energia</t>
  </si>
  <si>
    <t>Interpretación resultados indicador procesos sancionatorios ambientales</t>
  </si>
  <si>
    <t xml:space="preserve">Procesos sancionatorios ambientales </t>
  </si>
  <si>
    <t>Cambio climático y gestión del riesgo</t>
  </si>
  <si>
    <t xml:space="preserve">21. Variación de emisiones de gases de efecto invernadero (GEI) del sector </t>
  </si>
  <si>
    <t>21.1.1 Actividades de quema de combustibles (enfoque sectorial) 2021</t>
  </si>
  <si>
    <t>21.1.2 Actividades de quema de combustibles (enfoque sectorial) 2020</t>
  </si>
  <si>
    <t>21.1.3. Variación emisiones netas 2021 -2020 Actividades de quema de combustibles (enfoque sectorial)</t>
  </si>
  <si>
    <t>21.2.1.  Industrias de la energía 2021</t>
  </si>
  <si>
    <t>21.2.2.  Industrias de la energía 202</t>
  </si>
  <si>
    <t>21.2.3.   Variación emisiones netas 2021 -2020  Industrias de la energía</t>
  </si>
  <si>
    <t xml:space="preserve">21.3.1. Refinación del petróleo 2021 </t>
  </si>
  <si>
    <t>21.3.2. Refinación del petróleo 2020</t>
  </si>
  <si>
    <t xml:space="preserve">21.3.3. Variación emisiones netas 2021 -2020   Refinación del petróleo </t>
  </si>
  <si>
    <t>21.4.1. Fabricación de combustibles sólidos y otras energías 2021</t>
  </si>
  <si>
    <t>21.4.2. Fabricación de combustibles sólidos y otras energías 2020</t>
  </si>
  <si>
    <t>21.4.3.  Variación emisiones netas 2021 -2020  Fabricación de combustibles sólidos y otras energías</t>
  </si>
  <si>
    <t>21.5.1. Metales no ferrosos 2021</t>
  </si>
  <si>
    <t>21.5.2. Metales no ferrosos 2020</t>
  </si>
  <si>
    <t>21.5.3. Variación emisiones netas 2021 -2020  Metales no ferrosos</t>
  </si>
  <si>
    <t>21.6.1. Otro transporte 2021</t>
  </si>
  <si>
    <t xml:space="preserve">21.6.2. Otro transporte 2020 </t>
  </si>
  <si>
    <t>21.6.3. Variación emisiones netas 2021 -2020    Otro transporte</t>
  </si>
  <si>
    <t xml:space="preserve">21.7.1. Minería carbonífera y manejo del carbón 2021 </t>
  </si>
  <si>
    <t>21.7.2.Minería carbonífera y manejo del carbón 2020</t>
  </si>
  <si>
    <t>21.7.3.  Variación emisiones netas 2021 -2020  Minería carbonífera y manejo del carbón</t>
  </si>
  <si>
    <t>21.8.1. Etileno 2021</t>
  </si>
  <si>
    <t>21.8.2. Etileno 2020</t>
  </si>
  <si>
    <t xml:space="preserve">21.8.3. Variación emisiones netas 2021 -2020 Etileno </t>
  </si>
  <si>
    <t>21.10.1 Producción de ferroaleaciones 2021</t>
  </si>
  <si>
    <t>21.10.2. Producción de ferroaleaciones 2020</t>
  </si>
  <si>
    <t>21.10.3. Variación emisiones netas 2021 -2020  Producción de ferroaleaciones</t>
  </si>
  <si>
    <t>21.11.2. Humedales que permanecen como tales 2020</t>
  </si>
  <si>
    <t>21.11.1. Humedales que permanecen como tales 2021</t>
  </si>
  <si>
    <t>21.11.3. Variación emisiones netas 2021 -2020  Humedales que permanecen como tales</t>
  </si>
  <si>
    <t>21.12.1 total Emisiones netas 2021</t>
  </si>
  <si>
    <t>21.12.2. Emisiones netas 2020</t>
  </si>
  <si>
    <t>21.12.3.Variacion total Emisiones netas 2021-2020</t>
  </si>
  <si>
    <t>21.13.1. Minerí­a Extracción de carbón 2010</t>
  </si>
  <si>
    <t>21.13.2. Minerí­a Extracción de otros minerales 2010</t>
  </si>
  <si>
    <t>21.13.3. Petróleo y gas Downstream 2010</t>
  </si>
  <si>
    <t>21.13.4. Petróleo y gas Midstream 2010</t>
  </si>
  <si>
    <t>21.13.5. Petróleo y gas Upstream 2010</t>
  </si>
  <si>
    <t>21.13.6. Sistema Interconectado Nacional Embalses 2010</t>
  </si>
  <si>
    <t>21.13.7. Sistema Interconectado Nacional Combustión 2010</t>
  </si>
  <si>
    <t>21.13.8. Zonas No Interconectadas 2010</t>
  </si>
  <si>
    <t>21.13.9. Total 2010</t>
  </si>
  <si>
    <t>21.13.10. Minerí­a Extracción de carbón 2011</t>
  </si>
  <si>
    <t>21.13.11. Minerí­a Extracción de otros minerales 2011</t>
  </si>
  <si>
    <t>21.13.12. Petróleo y gas Downstream 2011</t>
  </si>
  <si>
    <t>21.13.13. Petróleo y gas Midstream 2011</t>
  </si>
  <si>
    <t>21.13.14. Petróleo y gas Upstream 2011</t>
  </si>
  <si>
    <t>21.13.15. Sistema Interconectado Nacional Embalses 2011</t>
  </si>
  <si>
    <t>21.13.16. Sistema Interconectado Nacional Combustión 2011</t>
  </si>
  <si>
    <t>21.13.17. Zonas No Interconectadas 2011</t>
  </si>
  <si>
    <t>21.13.18. Total 2011</t>
  </si>
  <si>
    <t>21.13.19. Minerí­a Extracción de carbón 2012</t>
  </si>
  <si>
    <t>21.13.20. Minerí­a Extracción de otros minerales 2012</t>
  </si>
  <si>
    <t>21.13.21. Petróleo y gas Downstream 2012</t>
  </si>
  <si>
    <t>21.13.22. Petróleo y gas Midstream 2012</t>
  </si>
  <si>
    <t>21.13.23. Petróleo y gas Upstream 2012</t>
  </si>
  <si>
    <t>21.13.24. Sistema Interconectado Nacional Embalses 2012</t>
  </si>
  <si>
    <t>21.13.25. Sistema Interconectado Nacional Combustión 2012</t>
  </si>
  <si>
    <t>21.13.26. Zonas No Interconectadas 2012</t>
  </si>
  <si>
    <t>21.13.27. Total 2012</t>
  </si>
  <si>
    <t>21.13.28. Minerí­a Extracción de carbón 2013</t>
  </si>
  <si>
    <t>21.13.29. Minerí­a Extracción de otros minerales 2013</t>
  </si>
  <si>
    <t>21.13.30. Petróleo y gas Downstream 2013</t>
  </si>
  <si>
    <t>21.13.31. Petróleo y gas Midstream 2013</t>
  </si>
  <si>
    <t>21.13.32. Petróleo y gas Upstream 2013</t>
  </si>
  <si>
    <t>21.13.33. Sistema Interconectado Nacional Embalses 2013</t>
  </si>
  <si>
    <t>21.13.34. Sistema Interconectado Nacional Combustión 2013</t>
  </si>
  <si>
    <t>21.13.35. Zonas No Interconectadas 2013</t>
  </si>
  <si>
    <t>21.13.36. Total 2013</t>
  </si>
  <si>
    <t>21.13.37. Minerí­a Extracción de carbón 2014</t>
  </si>
  <si>
    <t>21.13.38. Minerí­a Extracción de otros minerales 2014</t>
  </si>
  <si>
    <t>21.13.39. Petróleo y gas Downstream 2014</t>
  </si>
  <si>
    <t>21.13.40. Petróleo y gas Midstream 2014</t>
  </si>
  <si>
    <t>21.13.41. Petróleo y gas Upstream 2014</t>
  </si>
  <si>
    <t>21.13.42. Sistema Interconectado Nacional Embalses 2014</t>
  </si>
  <si>
    <t>21.13.43. Sistema Interconectado Nacional Combustión 2014</t>
  </si>
  <si>
    <t>21.13.44. Zonas No Interconectadas 2014</t>
  </si>
  <si>
    <t>21.13.45. Total 2014</t>
  </si>
  <si>
    <t>21.13.46. Minerí­a Extracción de carbón 2015</t>
  </si>
  <si>
    <t>21.13.47. Minerí­a Extracción de otros minerales 2015</t>
  </si>
  <si>
    <t>21.13.48. Petróleo y gas Downstream 2015</t>
  </si>
  <si>
    <t>21.13.49. Petróleo y gas Midstream 2015</t>
  </si>
  <si>
    <t>21.13.50. Petróleo y gas Upstream 2015</t>
  </si>
  <si>
    <t>21.13.51. Sistema Interconectado Nacional Embalses 2015</t>
  </si>
  <si>
    <t>21.13.52. Sistema Interconectado Nacional Combustión 2015</t>
  </si>
  <si>
    <t>21.13.53. Zonas No Interconectadas 2015</t>
  </si>
  <si>
    <t>21.13.54. Total 2015</t>
  </si>
  <si>
    <t>21.13.55. Minerí­a Extracción de carbón 2016</t>
  </si>
  <si>
    <t>21.13.56. Minerí­a Extracción de otros minerales 2016</t>
  </si>
  <si>
    <t>21.13.57. Petróleo y gas Downstream 2016</t>
  </si>
  <si>
    <t>21.13.58. Petróleo y gas Midstream 2016</t>
  </si>
  <si>
    <t>21.13.59. Petróleo y gas Upstream 2016</t>
  </si>
  <si>
    <t>21.13.60. Sistema Interconectado Nacional Embalses 2016</t>
  </si>
  <si>
    <t>21.13.61. Sistema Interconectado Nacional Combustión 2016</t>
  </si>
  <si>
    <t>21.13.62. Zonas No Interconectadas 2016</t>
  </si>
  <si>
    <t>21.13.63. Total 2016</t>
  </si>
  <si>
    <t>21.13.64. Minerí­a Extracción de carbón 2017</t>
  </si>
  <si>
    <t>21.13.65. Minerí­a Extracción de otros minerales 2017</t>
  </si>
  <si>
    <t>21.13.66. Petróleo y gas Downstream 2017</t>
  </si>
  <si>
    <t>21.13.67. Petróleo y gas Midstream 2017</t>
  </si>
  <si>
    <t>21.13.68. Petróleo y gas Upstream 2017</t>
  </si>
  <si>
    <t>21.13.69. Sistema Interconectado Nacional Embalses 2017</t>
  </si>
  <si>
    <t>21.13.70. Sistema Interconectado Nacional Combustión 2017</t>
  </si>
  <si>
    <t>21.13.71. Zonas No Interconectadas 2017</t>
  </si>
  <si>
    <t>21.13.72. Total 2017</t>
  </si>
  <si>
    <t>21.13.73. Minerí­a Extracción de carbón 2018</t>
  </si>
  <si>
    <t>21.13.74. Minerí­a Extracción de otros minerales 2018</t>
  </si>
  <si>
    <t>21.13.75. Petróleo y gas Downstream 2018</t>
  </si>
  <si>
    <t>21.13.76. Petróleo y gas Midstream 2018</t>
  </si>
  <si>
    <t>21.13.77. Petróleo y gas Upstream 2018</t>
  </si>
  <si>
    <t>21.13.78. Sistema Interconectado Nacional Embalses 2018</t>
  </si>
  <si>
    <t>21.13.79. Sistema Interconectado Nacional Combustión 2018</t>
  </si>
  <si>
    <t>21.13.80. Zonas No Interconectadas 2018</t>
  </si>
  <si>
    <t>21.13.81. Total 2018</t>
  </si>
  <si>
    <t>21.13.82. Minerí­a Extracción de carbón 2019</t>
  </si>
  <si>
    <t>21.13.83. Minerí­a Extracción de otros minerales 2019</t>
  </si>
  <si>
    <t>21.13.84. Petróleo y gas Downstream 2019</t>
  </si>
  <si>
    <t>21.13.85. Petróleo y gas Midstream 2019</t>
  </si>
  <si>
    <t>21.13.86. Petróleo y gas Upstream 2019</t>
  </si>
  <si>
    <t>21.13.87. Sistema Interconectado Nacional Embalses 2019</t>
  </si>
  <si>
    <t>21.13.88. Sistema Interconectado Nacional Combustión 2019</t>
  </si>
  <si>
    <t>21.13.89. Zonas No Interconectadas 2019</t>
  </si>
  <si>
    <t>21.13.90. Total 2019</t>
  </si>
  <si>
    <t>21.13.91. Minerí­a Extracción de carbón 2020</t>
  </si>
  <si>
    <t>21.13.92. Minerí­a Extracción de otros minerales 2020</t>
  </si>
  <si>
    <t>21.13.93. Petróleo y gas Downstream 2020</t>
  </si>
  <si>
    <t>21.13.94. Petróleo y gas Midstream 2020</t>
  </si>
  <si>
    <t>21.13.95. Petróleo y gas Upstream 2020</t>
  </si>
  <si>
    <t>21.13.96. Sistema Interconectado Nacional Embalses 2020</t>
  </si>
  <si>
    <t>21.13.97. Sistema Interconectado Nacional Combustión 2020</t>
  </si>
  <si>
    <t>21.13.98. Zonas No Interconectadas 2020</t>
  </si>
  <si>
    <t>21.13.99. Total 2020</t>
  </si>
  <si>
    <t>21.13.100. Minerí­a Extracción de carbón 2021</t>
  </si>
  <si>
    <t>21.13.101. Minerí­a Extracción de otros minerales 2021</t>
  </si>
  <si>
    <t>21.13.102. Petróleo y gas Downstream 2021</t>
  </si>
  <si>
    <t>21.13.103. Petróleo y gas Midstream 2021</t>
  </si>
  <si>
    <t>21.13.104. Petróleo y gas Upstream 2021</t>
  </si>
  <si>
    <t>21.13.105. Sistema Interconectado Nacional Embalses 2021</t>
  </si>
  <si>
    <t>21.13.106. Sistema Interconectado Nacional Combustión 2021</t>
  </si>
  <si>
    <t>21.13.107. Zonas No Interconectadas 2021</t>
  </si>
  <si>
    <t>21.13.108. Total 2021</t>
  </si>
  <si>
    <t>21.13.109. Minerí­a Extracción de carbón 2022</t>
  </si>
  <si>
    <t>21.13.110. Minerí­a Extracción de otros minerales 2022</t>
  </si>
  <si>
    <t>21.13.111. Petróleo y gas Downstream 2022</t>
  </si>
  <si>
    <t>21.13.112. Petróleo y gas Midstream 2022</t>
  </si>
  <si>
    <t>21.13.113. Petróleo y gas Upstream 2022</t>
  </si>
  <si>
    <t>21.13.114. Sistema Interconectado Nacional Embalses 2022</t>
  </si>
  <si>
    <t>21.13.115. Sistema Interconectado Nacional Combustión 2022</t>
  </si>
  <si>
    <t>21.13.116. Zonas No Interconectadas 2022</t>
  </si>
  <si>
    <t>21.13.117. Total 2022</t>
  </si>
  <si>
    <t>21.13.118 Variación 2010-2011</t>
  </si>
  <si>
    <t>21.13.119 Variación 2011-2012</t>
  </si>
  <si>
    <t>21.13.200 Variación 2012-2013</t>
  </si>
  <si>
    <t>21.13.201 Variación 2013-2014</t>
  </si>
  <si>
    <t>21.13.202 Variación 2014-2015</t>
  </si>
  <si>
    <t>21.13.203 Variación 2015-2016</t>
  </si>
  <si>
    <t>21.13.204 Variación 2016-2017</t>
  </si>
  <si>
    <t>21.13.205 Variación 2017-2018</t>
  </si>
  <si>
    <t>21.13.206 Variación 2018-2019</t>
  </si>
  <si>
    <t>21.13.207 Variación 2019-2020</t>
  </si>
  <si>
    <t>21.13.208 Variación 2020-2021</t>
  </si>
  <si>
    <t>21.13.209 Variación 2021-2022</t>
  </si>
  <si>
    <t xml:space="preserve">21.14.2. sumatoria 2021 mineria </t>
  </si>
  <si>
    <t>21.14.3. sumatoria 2022 mineria</t>
  </si>
  <si>
    <t>21.14.1. variacion  Global</t>
  </si>
  <si>
    <t>21.14.4. sumatoria 2021 hidrocarburos</t>
  </si>
  <si>
    <t>21.14.5. sumatoria 2022 hidrocarburos</t>
  </si>
  <si>
    <t>21.14.6. sumatoria 2021 energia</t>
  </si>
  <si>
    <t xml:space="preserve">21.14.7. sumatoria 2022 energia </t>
  </si>
  <si>
    <t>21.15.1 variación mineria 2021-2022</t>
  </si>
  <si>
    <t>21.15.2 variación hidrocarburos  2021-2022</t>
  </si>
  <si>
    <t>21.15.1 variación energia  2021-2022</t>
  </si>
  <si>
    <t>Interpretación del indicador de variación de emisiones de GEI</t>
  </si>
  <si>
    <t xml:space="preserve">Variación de emisiones de gases de efecto invernadero (GEI) del sector </t>
  </si>
  <si>
    <t>22.Tasa de variación del financiamiento climático</t>
  </si>
  <si>
    <t>22.1.1. Internacional mitigación  2023</t>
  </si>
  <si>
    <t>22.1.2. Eficiencia energética mitigación  2023</t>
  </si>
  <si>
    <t>22.1.3. Público-Domestico adaptación 2023</t>
  </si>
  <si>
    <t>22.1.4. Público-Domestico ambos 2023</t>
  </si>
  <si>
    <t>22.1.5. Público-Domestico mitigación 2023</t>
  </si>
  <si>
    <t>21.1.6. Eficiencia energetica ambas  2023</t>
  </si>
  <si>
    <t>21.1.7. Eficiencia energetica mitigación 2023</t>
  </si>
  <si>
    <t>22.1.8. Generación, mejora y acceso de electricidad  adaptación 2023</t>
  </si>
  <si>
    <t>22.1.9. Generación, mejora y acceso de electricidad  mitigación 2023</t>
  </si>
  <si>
    <t>22.1.10. Producción minera 2023</t>
  </si>
  <si>
    <t>22.1.11.Total general adaptación 2023</t>
  </si>
  <si>
    <t>22.1.12. Total general ambos  2023</t>
  </si>
  <si>
    <t>22.1.13. Total general mitigación 2023</t>
  </si>
  <si>
    <t>22.1.14.Total internacional  2023</t>
  </si>
  <si>
    <t>22.1.15. Total eficiencia  energetica 2023</t>
  </si>
  <si>
    <t>22.1.16. Total público-Domestico 2023</t>
  </si>
  <si>
    <t>22.1.17. Total eficiencia energetica 2023</t>
  </si>
  <si>
    <t>22.1.18. Total Genersción, mejora y acceso de electricidad  2023</t>
  </si>
  <si>
    <t>22.1.19. Producción minera  2023</t>
  </si>
  <si>
    <t>22.1.20. Total general  2023</t>
  </si>
  <si>
    <t>22.2.1. Financiero mitigación 2022</t>
  </si>
  <si>
    <t>22.2.2. Generación, mejora y acceso de electricidad mitigación 2022</t>
  </si>
  <si>
    <t>22.2.3. Internacional mitigación  2022</t>
  </si>
  <si>
    <t xml:space="preserve">22.2.4. Generación, mejora y acceso de electricidad mitigación  2022 </t>
  </si>
  <si>
    <t>22.2.5. Política, leyes e investigación para la transición energética 2022</t>
  </si>
  <si>
    <t>22.2.6. Publica-domestico adaptación 2022</t>
  </si>
  <si>
    <t>22.2.7. Publico-domestico ambas 2022</t>
  </si>
  <si>
    <t>22.2.8. Publico-domestico mitigación 2022</t>
  </si>
  <si>
    <t>22.2.9. Eficiencia energetica mitigación 2022</t>
  </si>
  <si>
    <t>22.2.11. Producción de hidrocarburos 2022</t>
  </si>
  <si>
    <t>22.2.12. Producción minera ambas 2022</t>
  </si>
  <si>
    <t>22.2.13. Producción minera mitigación 2023</t>
  </si>
  <si>
    <t>22.2.10. generación, mejora y acceso de electricidad mitigación   2023</t>
  </si>
  <si>
    <t>22.2.10. generación, mejora y acceso de electricidad adaptación  2022</t>
  </si>
  <si>
    <t>22.2.14. Total general adaptación 2022</t>
  </si>
  <si>
    <t>22.2.14. Total general ambos 2022</t>
  </si>
  <si>
    <t>22.2.14. Total general mitigación 2022</t>
  </si>
  <si>
    <t>22.2.15. Total general  financiero 2022</t>
  </si>
  <si>
    <t>22.3.1 Financiamiento 2011</t>
  </si>
  <si>
    <t>22.3.2 Financiamiento 2012</t>
  </si>
  <si>
    <t>22.3.3 Financiamiento 2013</t>
  </si>
  <si>
    <t>22.3.4Financiamiento 2014</t>
  </si>
  <si>
    <t>22.3.5 Financiamiento 2015</t>
  </si>
  <si>
    <t>22.3.6 Financiamiento 2016</t>
  </si>
  <si>
    <t>22.3.7 Financiamiento 2017</t>
  </si>
  <si>
    <t>22.3.8Financiamiento 2018</t>
  </si>
  <si>
    <t>22.3.9 Financiamiento 2019</t>
  </si>
  <si>
    <t>22.3.10 Financiamiento 2020</t>
  </si>
  <si>
    <t>22.3.11 Financiamiento 2021</t>
  </si>
  <si>
    <t>22.3.12 Financiamiento 2022</t>
  </si>
  <si>
    <t>22.3.13.Financiamiento 2023</t>
  </si>
  <si>
    <t>22.2.16. Generación, mejora y acceso de electricidad 2022</t>
  </si>
  <si>
    <t>22.2.17. Internacional 2022</t>
  </si>
  <si>
    <t xml:space="preserve">22.2.18. generación, mejora y acceso de electricidad 2022 </t>
  </si>
  <si>
    <t>22.2.19.Politica, leyes e investigacion para la transición energetica  2022</t>
  </si>
  <si>
    <t>22.2.20. Publico - Domestico  2022</t>
  </si>
  <si>
    <t>22..2.21. Eficiencia energetica  2022</t>
  </si>
  <si>
    <t xml:space="preserve">22.2.22.  generación, mejora y acceso de electricidad 2022 </t>
  </si>
  <si>
    <t>22.2.23 Producción hidrocarburos 2022</t>
  </si>
  <si>
    <t xml:space="preserve">22.2.24. Producción minera </t>
  </si>
  <si>
    <t>2.2.25. Total general 2022</t>
  </si>
  <si>
    <t>Interpretación del indicador de variación del financiamiento climático</t>
  </si>
  <si>
    <t>24. Indice de derrames de hidrocarburos (IDH)</t>
  </si>
  <si>
    <t>ACPM y otros aceites</t>
  </si>
  <si>
    <t>Carrotanque</t>
  </si>
  <si>
    <t>Desconocido</t>
  </si>
  <si>
    <t>Inst. Fija</t>
  </si>
  <si>
    <t>Planta</t>
  </si>
  <si>
    <t>Tubería</t>
  </si>
  <si>
    <t>Crudo</t>
  </si>
  <si>
    <t>Gas</t>
  </si>
  <si>
    <t xml:space="preserve">Gasolina </t>
  </si>
  <si>
    <t>Otros</t>
  </si>
  <si>
    <t>10-100</t>
  </si>
  <si>
    <t>100-1000</t>
  </si>
  <si>
    <t>24.1.0-10</t>
  </si>
  <si>
    <t>24.1.1.ACPM y otros aceites</t>
  </si>
  <si>
    <t>24.1.1.1.Carrotanque</t>
  </si>
  <si>
    <t>24.1.1.2.Desconocido</t>
  </si>
  <si>
    <t xml:space="preserve">Total ACPM y otros aceites </t>
  </si>
  <si>
    <t xml:space="preserve">Total crudo </t>
  </si>
  <si>
    <t xml:space="preserve">Total  Desconocido </t>
  </si>
  <si>
    <t>Total gas</t>
  </si>
  <si>
    <t>Total gasolina</t>
  </si>
  <si>
    <t>Total otros</t>
  </si>
  <si>
    <t xml:space="preserve">Numero total de eventos </t>
  </si>
  <si>
    <t>Total general 𝑉𝑜𝑙𝑢𝑚𝑒𝑛 𝑡𝑜𝑡𝑎𝑙 𝑑𝑒 𝐻𝑖𝑑𝑟𝑜𝑐𝑎𝑟𝑏𝑢𝑟𝑜𝑠 𝑑𝑒𝑟𝑟𝑎𝑚𝑎𝑑𝑜 (𝐵𝐵𝐿)</t>
  </si>
  <si>
    <t>Aproximación a la unidad</t>
  </si>
  <si>
    <t>Tasa de variación del financiamiento climático</t>
  </si>
  <si>
    <t>Indice de derrames de hidrocarburos (IDH)</t>
  </si>
  <si>
    <t>Interpretación del indicador de accidentalidad sector hidrocarburos</t>
  </si>
  <si>
    <t>25.1. gravedad catastrófico sumatoria número de heridos</t>
  </si>
  <si>
    <t>25.2. gravedad catastrófico sumatoria número de fallecidos</t>
  </si>
  <si>
    <t>25.1.1. catastrófico accidente minero por explosión número de heridos</t>
  </si>
  <si>
    <t>25.2.1. catastrófico accidente minero por explosión número de fallecidos</t>
  </si>
  <si>
    <t>25. Índice de gravedad de accidentes mineros (IGAM)</t>
  </si>
  <si>
    <t>25.3. gravedad grave sumatoria número de heridos</t>
  </si>
  <si>
    <t>25.4. gravedad grave sumatoria número de fallecidos</t>
  </si>
  <si>
    <t>25.3.1. grave accidente minero por atmósfera contaminada o irrespirable número de heridos</t>
  </si>
  <si>
    <t>25.4.1. grave accidente minero por atmósfera contaminada o irrespirable número de fallecidos</t>
  </si>
  <si>
    <t>25.3.2. grave accidente minero por derrumbe número de heridos</t>
  </si>
  <si>
    <t>25.4.2. grave accidente minero por derrumbe número de fallecidos</t>
  </si>
  <si>
    <t>25.5. gravedad mortal sumatoria número de heridos</t>
  </si>
  <si>
    <t>25.6. gravedad mortal sumatoria número de fallecidos</t>
  </si>
  <si>
    <t>25.5.1. mortal accidente minero eléctrico número de heridos</t>
  </si>
  <si>
    <t>25.6.1. mortal accidente minero eléctrico número de fallecidos</t>
  </si>
  <si>
    <t>25.5.2. mortal accidente minero mecánico número de heridos</t>
  </si>
  <si>
    <t>25.6.2. mortal accidente minero mecánico número de fallecidos</t>
  </si>
  <si>
    <t>25.5.3. mortal accidente minero por atmósfera contaminada o irrespirable número de heridos</t>
  </si>
  <si>
    <t>25.6.3. mortal accidente minero por atmósfera contaminada o irrespirable número de fallecidos</t>
  </si>
  <si>
    <t>25.5.4. mortal accidente minero por caída a diferente nivel número de heridos</t>
  </si>
  <si>
    <t>25.6.4. mortal accidente minero por caída a diferente nivel número de fallecidos</t>
  </si>
  <si>
    <t>25.5.5. mortal accidente minero por derrumbe número de heridos</t>
  </si>
  <si>
    <t>25.6.5. mortal accidente minero por derrumbe número de fallecidos</t>
  </si>
  <si>
    <t>25.5.6. mortal accidente minero por explosión número de heridos</t>
  </si>
  <si>
    <t>25.6.6. mortal accidente minero por explosión número de fallecidos</t>
  </si>
  <si>
    <t>25.5.7. mortal accidente minero por falla geomecánica número de heridos</t>
  </si>
  <si>
    <t>25.6.7. mortal accidente minero por falla geomecánica número de fallecidos</t>
  </si>
  <si>
    <t>25.5.8. mortal accidente minero por inundación número de heridos</t>
  </si>
  <si>
    <t>25.6.8. mortal accidente minero por inundación número de fallecidos</t>
  </si>
  <si>
    <t>25.5.9. mortal accidente minero por otra causa número de heridos</t>
  </si>
  <si>
    <t>25.6.9. mortal accidente minero por otra causa número de fallecidos</t>
  </si>
  <si>
    <t>25.5.10. mortal accidente minero por determinar número de heridos</t>
  </si>
  <si>
    <t>25.6.10. mortal accidente minero por determinar número de fallecidos</t>
  </si>
  <si>
    <t>25.7. gravedad sin afectados sumatoria número de heridos</t>
  </si>
  <si>
    <t>25.8. gravedad sin afectados sumatoria número de fallecidos</t>
  </si>
  <si>
    <t>25.7.1. sin afectados accidente minero por atmósfera contaminada o irrespirable número de heridos</t>
  </si>
  <si>
    <t>25.8.1. sin afectados accidente minero por atmósfera contaminada o irrespirable número de fallecidos</t>
  </si>
  <si>
    <t>25.7.2. sin afectados accidente minero por derrumbe número de heridos</t>
  </si>
  <si>
    <t>25.8.2. sin afectados accidente minero por derrumbe número de fallecidos</t>
  </si>
  <si>
    <t>25.7.3. sin afectados accidente minero por explosión número de heridos</t>
  </si>
  <si>
    <t>25.8.3. sin afectados accidente minero por explosión número de fallecidos</t>
  </si>
  <si>
    <t>25.7.4. sin afectados accidente minero por falla geomecánica número de heridos</t>
  </si>
  <si>
    <t>25.8.4. sin afectados accidente minero por falla geomecánica número de fallecidos</t>
  </si>
  <si>
    <t>25.7.5. sin afectados accidente minero por incendio número de heridos</t>
  </si>
  <si>
    <t>25.8.5. sin afectados accidente minero por incendio número de fallecidos</t>
  </si>
  <si>
    <t>25.7.6. sin afectados accidente minero por inundación número de heridos</t>
  </si>
  <si>
    <t>25.8.6. sin afectados accidente minero por inundación número de fallecidos</t>
  </si>
  <si>
    <t>25.9. 𝑁𝑢𝑚𝑒𝑟𝑜 𝑡𝑜𝑡𝑎𝑙 𝑑𝑒 𝑖𝑛𝑐𝑖𝑑𝑒𝑛𝑡𝑒𝑠 𝑣𝑒𝑟𝑖𝑓𝑖𝑐𝑎𝑑𝑜𝑠</t>
  </si>
  <si>
    <t>25.10 sum heridos</t>
  </si>
  <si>
    <t xml:space="preserve">25.11. sum fallecidos </t>
  </si>
  <si>
    <t>Índice de gravedad de accidentes mineros (IGAM)</t>
  </si>
  <si>
    <t>Interpretación del indicador de accidentalidad minera</t>
  </si>
  <si>
    <t>26. índice de severidad de accidentes eléctricos (ISAE)</t>
  </si>
  <si>
    <t>26.1. lesión tetanización energía sum accidentes</t>
  </si>
  <si>
    <t>26.2. lesión fibrilación energía sum accidentes</t>
  </si>
  <si>
    <t>26.3. lesión quemaduras energía sum accidentes</t>
  </si>
  <si>
    <t>26.4. lesión traumatismos energía sum accidentes</t>
  </si>
  <si>
    <t>26.5. lesión derivadas energía sum accidentes</t>
  </si>
  <si>
    <t>26.6. lesión muerte energía sum accidentes</t>
  </si>
  <si>
    <t>26.7. lesión otra energía sum accidentes</t>
  </si>
  <si>
    <t>26.8. lesión desconocida energía sum accidentes</t>
  </si>
  <si>
    <t xml:space="preserve">26.9. Sumatoria heridos </t>
  </si>
  <si>
    <t xml:space="preserve">26.10 sumatoria muerte </t>
  </si>
  <si>
    <t>26.11. 𝑁𝑢𝑚𝑒𝑟𝑜 𝑡𝑜𝑡𝑎𝑙 𝑑𝑒 𝑖𝑛𝑐𝑖𝑑𝑒𝑛𝑡𝑒𝑠 𝑣𝑒𝑟𝑖𝑓𝑖𝑐𝑎𝑑𝑜𝑠</t>
  </si>
  <si>
    <t>índice de severidad de accidentes eléctricos (ISAE)</t>
  </si>
  <si>
    <t>Interpretación de indicador de accidentalidad sector energético</t>
  </si>
  <si>
    <t>27. Variación de la intensidad energética por subsector</t>
  </si>
  <si>
    <t>27.1. subsector eléctrico consumo propio primarios autocosumo 2022 (TJ)</t>
  </si>
  <si>
    <t>27.2. subsector eléctrico consumo propio primarios autocosumo 2023 (TJ)</t>
  </si>
  <si>
    <t>27.3. subsector eléctrico consumo propio secundarios autocosumo 2022 (TJ)</t>
  </si>
  <si>
    <t>27.4. subsector eléctrico consumo propio secundarios autocosumo 2023 (TJ)</t>
  </si>
  <si>
    <t>27.5. subsector hidrocarburos consumo propio (extr-transf) primarios autocosumo 2022 (TJ)</t>
  </si>
  <si>
    <t>27.6. subsector hidrocarburos consumo propio (extr-transf) primarios autocosumo 2023 (TJ)</t>
  </si>
  <si>
    <t>27.7. subsector hidrocarburos consumo propio (extr-transf) secundarios autocosumo 2022 (TJ)</t>
  </si>
  <si>
    <t>27.8. subsector hidrocarburos consumo propio (extr-transf) secundarios autocosumo 2023 (TJ)</t>
  </si>
  <si>
    <t>27.9. subsector hidrocarburos consumo propio (en mercado) primarios autocosumo 2022 (TJ)</t>
  </si>
  <si>
    <t>27.10. subsector hidrocarburos consumo propio (en mercado) primarios autocosumo 2023 (TJ)</t>
  </si>
  <si>
    <t>27.11. subsector hidrocarburos consumo propio (en mercado) secundarios autocosumo 2022 (TJ)</t>
  </si>
  <si>
    <t>27.12. subsector hidrocarburos consumo propio (en mercado) secundarios autocosumo 2023 (TJ)</t>
  </si>
  <si>
    <t>27.13. subsector minería consumo final minero primarios autocosumo 2022 (TJ)</t>
  </si>
  <si>
    <t>27.14. subsector minería consumo final minero primarios autocosumo 2023 (TJ)</t>
  </si>
  <si>
    <t>27.15. subsector minería consumo final minero secundarios autocosumo 2022 (TJ)</t>
  </si>
  <si>
    <t>27.16. subsector minería consumo final minero secundarios autocosumo 2023 (TJ)</t>
  </si>
  <si>
    <t>27.17. energía auto consumida total (EA eléctrico) 2022</t>
  </si>
  <si>
    <t>27.18. energía auto consumida total (EA eléctrico) 2023</t>
  </si>
  <si>
    <t>27.19. energía auto consumida total (EA hidrocarburos) 2022</t>
  </si>
  <si>
    <t>27.20. energía auto consumida total (EA hidrocarburos) 2023</t>
  </si>
  <si>
    <t>27.21. energía auto consumida total (EA minería) 2022</t>
  </si>
  <si>
    <t>27.22. energía auto consumida total (EA minería) 2023</t>
  </si>
  <si>
    <t>27.23. total sector minero energético 2022</t>
  </si>
  <si>
    <t>27.24. total sector minero energético 2023</t>
  </si>
  <si>
    <t>27.25. PIB eléctrico 2022 (miles de millones de pesos)</t>
  </si>
  <si>
    <t>27.26. PIB eléctrico 2023 (miles de millones de pesos)</t>
  </si>
  <si>
    <t>27.27. PIB hidrocarburos 2022 (miles de millones de pesos)</t>
  </si>
  <si>
    <t>27.28. PIB hidrocarburos 2023 (miles de millones de pesos)</t>
  </si>
  <si>
    <t>27.29. PIB minería 2022 (miles de millones de pesos)</t>
  </si>
  <si>
    <t>27.30. PIB minería 2023 (miles de millones de pesos)</t>
  </si>
  <si>
    <t>27.31. total sector minero energético 2022 (miles de millones de pesos)</t>
  </si>
  <si>
    <t>27.32. total sector minero energético 2023 (miles de millones de pesos)</t>
  </si>
  <si>
    <t>27.33. IES 2022</t>
  </si>
  <si>
    <t>27.34. IES 2023</t>
  </si>
  <si>
    <t>Interpretación del indicador de variación de la intensidad energética por subsector.</t>
  </si>
  <si>
    <t>28. Variación de la intensidad energética nacional</t>
  </si>
  <si>
    <t>28.1. Autoconsumo · Primarios · Casilla C20 · Energía consumida 2022 (TJ)</t>
  </si>
  <si>
    <t>28.2. Autoconsumo · Primarios · Casilla C20 · Energía consumida 2023 (TJ)</t>
  </si>
  <si>
    <t>28.3. Autoconsumo · Secundarios · Casilla L20 · Energía consumida 2022 (TJ)</t>
  </si>
  <si>
    <t>28.4. Autoconsumo · Secundarios · Casilla L20 · Energía consumida 2023 (TJ)</t>
  </si>
  <si>
    <t>28.5. Consumo final · Primarios · Casilla C41 · Energía consumida 2022 (TJ)</t>
  </si>
  <si>
    <t>28.6. Consumo final · Primarios · Casilla C41 · Energía consumida 2023 (TJ)</t>
  </si>
  <si>
    <t>28.7. Consumo final · Secundarios · Casilla L41 · Energía consumida 2022 (TJ)</t>
  </si>
  <si>
    <t>28.8. Consumo final · Secundarios · Casilla L41 · Energía consumida 2023 (TJ)</t>
  </si>
  <si>
    <t>28.9. Pérdidas · Primarios · Casilla C16 · Energía consumida 2022 (TJ)</t>
  </si>
  <si>
    <t>28.10. Pérdidas · Primarios · Casilla C16 · Energía consumida 2023 (TJ)</t>
  </si>
  <si>
    <t>28.11. Pérdidas · Secundarios · Casilla L16 · Energía consumida 2022 (TJ)</t>
  </si>
  <si>
    <t>28.12. Pérdidas · Secundarios · Casilla L16 · Energía consumida 2023 (TJ)</t>
  </si>
  <si>
    <r>
      <t xml:space="preserve">28.13. </t>
    </r>
    <r>
      <rPr>
        <b/>
        <sz val="11"/>
        <color theme="1"/>
        <rFont val="Calibri"/>
        <family val="2"/>
        <scheme val="minor"/>
      </rPr>
      <t>Total Energía Consumida (ECn) 2022</t>
    </r>
  </si>
  <si>
    <r>
      <t xml:space="preserve">28.14. </t>
    </r>
    <r>
      <rPr>
        <b/>
        <sz val="11"/>
        <color theme="1"/>
        <rFont val="Calibri"/>
        <family val="2"/>
        <scheme val="minor"/>
      </rPr>
      <t>Total Energía Consumida (ECn) 2023</t>
    </r>
  </si>
  <si>
    <t>28.15.Producto Interno Bruto (PIBn)2022</t>
  </si>
  <si>
    <t>28.16.Producto Interno Bruto (PIBn)2022</t>
  </si>
  <si>
    <t>28.17.𝐼𝐸𝑁2022</t>
  </si>
  <si>
    <t>28.18 𝐼𝐸𝑁2023</t>
  </si>
  <si>
    <t>29. Participación de las fncer en la matriz energética primaria</t>
  </si>
  <si>
    <t>29.1.Generación de las Pequeñas Centrales Hidroeléctricas (P) (TJ) 2022</t>
  </si>
  <si>
    <t>29.2.Generación de las Pequeñas Centrales Hidroeléctricas (P) (TJ) 2023</t>
  </si>
  <si>
    <t>29.3. CT Central Eólica (E) · Primario · Casilla C28 · Energía primaria 2022 (TJ)</t>
  </si>
  <si>
    <t>29.4. CT Central Eólica (E) · Primario · Casilla C28 · Energía primaria 2023 (TJ)</t>
  </si>
  <si>
    <t>29.5. CT Central Solar (S) · Primario · Casilla C29 · Energía primaria 2022 (TJ)</t>
  </si>
  <si>
    <t>29.6. CT Central Solar (S) · Primario · Casilla C29 · Energía primaria 2023 (TJ)</t>
  </si>
  <si>
    <t>29.7. CT Plantas de Biodiesel (B) · Primario · Casilla C36 · Energía primaria 2022 (TJ)</t>
  </si>
  <si>
    <t>29.8. CT Plantas de Biodiesel (B) · Primario · Casilla C36 · Energía primaria 2023 (TJ)</t>
  </si>
  <si>
    <r>
      <t xml:space="preserve">29.9. </t>
    </r>
    <r>
      <rPr>
        <b/>
        <sz val="11"/>
        <color theme="1"/>
        <rFont val="Calibri"/>
        <family val="2"/>
        <scheme val="minor"/>
      </rPr>
      <t>Total energía generada por eólica, solar y biodiesel 2022 (TJ)</t>
    </r>
  </si>
  <si>
    <r>
      <t xml:space="preserve">29.10. </t>
    </r>
    <r>
      <rPr>
        <b/>
        <sz val="11"/>
        <color theme="1"/>
        <rFont val="Calibri"/>
        <family val="2"/>
        <scheme val="minor"/>
      </rPr>
      <t>Total energía generada por eólica, solar y biodiesel 2023 (TJ)</t>
    </r>
  </si>
  <si>
    <t>29.11. Extracción Primaria (EP) · Primario · Casilla C10 · Energía primaria 2022 (TJ)</t>
  </si>
  <si>
    <t>29.12. Extracción Primaria (EP) · Primario · Casilla C10 · Energía primaria 2023 (TJ)</t>
  </si>
  <si>
    <t>29.13. Importaciones (I) · Primario · Casilla C11 · Energía primaria 2022 (TJ)</t>
  </si>
  <si>
    <t>29.14. Importaciones (I) · Primario · Casilla C11 · Energía primaria 2023 (TJ)</t>
  </si>
  <si>
    <t>29.15. Exportaciones (Ex) · Primario · Casilla C13 · Energía primaria 2022 (TJ)</t>
  </si>
  <si>
    <t>29.16. Exportaciones (Ex) · Primario · Casilla C13 · Energía primaria 2023 (TJ)</t>
  </si>
  <si>
    <r>
      <t xml:space="preserve">29.17. </t>
    </r>
    <r>
      <rPr>
        <b/>
        <sz val="11"/>
        <color theme="1"/>
        <rFont val="Calibri"/>
        <family val="2"/>
        <scheme val="minor"/>
      </rPr>
      <t>Total Oferta Energía Primaria (EP+I−E) 2022 (TJ)</t>
    </r>
  </si>
  <si>
    <r>
      <t xml:space="preserve">29.18. </t>
    </r>
    <r>
      <rPr>
        <b/>
        <sz val="11"/>
        <color theme="1"/>
        <rFont val="Calibri"/>
        <family val="2"/>
        <scheme val="minor"/>
      </rPr>
      <t>Total Oferta Energía Primaria (EP+I−E) 2023 (TJ)</t>
    </r>
  </si>
  <si>
    <t>29.20.𝐺𝐵𝐸𝑆𝑃2022</t>
  </si>
  <si>
    <t>29.21. 𝐺𝐵𝐸𝑆𝑃2023</t>
  </si>
  <si>
    <t>29.22.𝐺𝑇2022</t>
  </si>
  <si>
    <t>29.23. 𝐺𝑇2023</t>
  </si>
  <si>
    <t>29.24.𝐹𝑁𝐶𝐸𝑅2022</t>
  </si>
  <si>
    <t>29.25.𝐹𝑁𝐶𝐸𝑅2023</t>
  </si>
  <si>
    <t>Interpretación del indicador de participación de las FNCER en matriz primaria</t>
  </si>
  <si>
    <t>Interpretación del indicador de variación de la intensidad energética nacional</t>
  </si>
  <si>
    <t>Participación de las fncer en la matriz energética primaria</t>
  </si>
  <si>
    <t>31.Producción de minerales estratégicos y críticos para la TEJ.</t>
  </si>
  <si>
    <t>31.1.𝑃2022</t>
  </si>
  <si>
    <t>31.2.𝑃2023</t>
  </si>
  <si>
    <t>Interpretación del indicador de producción de minerales estratégicos y críticos para la TEJ.</t>
  </si>
  <si>
    <t>32. Pobreza multidimensional en municipios productores de minerales estratégicos</t>
  </si>
  <si>
    <t>32.2. Municipios productores de ME</t>
  </si>
  <si>
    <t>32.1. IPM para esa lista de municipios productores de ME</t>
  </si>
  <si>
    <t>32.3. IPM para esa lista de municipios no  productores de ME</t>
  </si>
  <si>
    <t>32.4. Municipios no productores de ME</t>
  </si>
  <si>
    <t>32.5. IPM ME</t>
  </si>
  <si>
    <t>32.6. I𝑃𝑀 𝑁𝑀𝐸</t>
  </si>
  <si>
    <t>Interpretación del indicador de pobreza multidimensional en municipios productores de minerales estratégicos para la TEJ</t>
  </si>
  <si>
    <t>33.Recaudo efectivo de regalías</t>
  </si>
  <si>
    <t>33.1. 𝐼𝑛𝑔𝑟𝑒𝑠𝑜 𝑟𝑒𝑎𝑙 𝑝𝑜𝑟 𝑐𝑜𝑛𝑐𝑒𝑝𝑡𝑜 𝑑𝑒 𝑟𝑒𝑔𝑎𝑙𝑖𝑎𝑠 (2023)</t>
  </si>
  <si>
    <t>33.2. 𝐼𝑛𝑔𝑟𝑒𝑠𝑜 𝑑𝑒 𝑟𝑒𝑔𝑎𝑙𝑖𝑎𝑠 𝑝𝑟𝑜𝑦𝑒𝑐𝑡𝑎𝑑𝑎𝑠 (2023)</t>
  </si>
  <si>
    <t>Interpretación del indicador de recaudo efectivo de regalías</t>
  </si>
  <si>
    <t>34.1. 𝑃𝑟𝑒𝑠𝑢𝑝𝑢𝑒𝑠𝑡𝑜 𝑒𝑗𝑒𝑐𝑢𝑡𝑎𝑑𝑜 𝑎𝑙 𝑠𝑒𝑐𝑡𝑜𝑟 𝐴𝑦𝐷𝑆 (2023)</t>
  </si>
  <si>
    <t>34.2.𝐴𝑠𝑖𝑔𝑛𝑎𝑐𝑖ó𝑛 𝑑𝑒 𝑟𝑒𝑔𝑎𝑙𝑖𝑎𝑠 𝑎𝑙 𝑠𝑒𝑐𝑡𝑜𝑟 𝐴𝑦𝐷𝑆 (2023)</t>
  </si>
  <si>
    <t>Interpretación del indicador de regalías destinadas al sector ambiente y de desarrollo sostenible</t>
  </si>
  <si>
    <t>34.Regalías destinadas al sector ambiente y desarrollo sostenible</t>
  </si>
  <si>
    <t>35.Variación de proyectos del SGR dirigidos al sector ambiente y desarrollo sostenible</t>
  </si>
  <si>
    <t>35.1.𝑃𝑟𝑜𝑦𝑒𝑐𝑡𝑜𝑠 𝑑𝑖𝑟𝑖𝑔𝑖𝑑𝑜𝑠 𝐴𝑦𝐷𝑆 (2023)</t>
  </si>
  <si>
    <t>35.2.𝑃𝑟𝑜𝑦𝑒𝑐𝑡𝑜𝑠 𝑑𝑖𝑟𝑖𝑔𝑖𝑑𝑜𝑠 𝐴𝑦𝐷𝑆 (2022)</t>
  </si>
  <si>
    <t>Interpretación del indicador de variación de proyectos del SGR dirigidos al sector ambiente y desarrollo sostenible</t>
  </si>
  <si>
    <t>36. Participación del sector minero energético en el PIB nacional</t>
  </si>
  <si>
    <t>36.1. 𝑃𝐼𝐵 (𝑆𝑀𝐸)(𝑡)</t>
  </si>
  <si>
    <t>36.2.𝑃𝐼𝐵 𝑁𝑎𝑐𝑖𝑜𝑛𝑎𝑙 (2023)</t>
  </si>
  <si>
    <t>Interpretación del indicador de participación del sector minero energético en el PIB nacional</t>
  </si>
  <si>
    <t>37.Participación del sector minero energético en las exportaciones del país</t>
  </si>
  <si>
    <t>37.1.𝐸𝑥𝑝𝑜𝑟𝑡𝑎𝑐𝑖𝑜𝑛𝑒𝑠 𝑑𝑒𝑙 𝑠𝑒𝑐𝑡𝑜𝑟 𝑝𝑎𝑟𝑎 𝑒𝑙 𝑎ñ𝑜 (2023)</t>
  </si>
  <si>
    <t>37.2.𝐸𝑥𝑝𝑜𝑟𝑡𝑎𝑐𝑖𝑜𝑛𝑒𝑠 𝑑𝑒𝑙 𝑠𝑒𝑐𝑡𝑜𝑟 𝑝𝑎𝑟𝑎 𝑒𝑙 𝑎ñ𝑜 (2023)</t>
  </si>
  <si>
    <t>Interpretación del indicador de participación del sector minero energético en las exportaciones del país</t>
  </si>
  <si>
    <t>38.Pobreza multidimensional en municipios productores de hidrocarburos.</t>
  </si>
  <si>
    <t>38.1.Σ𝐼𝑃𝑀𝑚𝑢𝑛𝑖𝑐𝑖𝑝𝑖𝑜𝑠 𝑝𝑟𝑜𝑑𝑢𝑐𝑡𝑜𝑟𝑒𝑠</t>
  </si>
  <si>
    <t>38.2.𝑁ú𝑚𝑒𝑟𝑜 𝑑𝑒 𝑚𝑢𝑛𝑖𝑐𝑖𝑝𝑖𝑜𝑠 𝑝𝑟𝑜𝑑𝑢𝑐𝑡𝑜𝑟𝑒𝑠</t>
  </si>
  <si>
    <t>38.3.𝐼𝑃𝑀 𝑃𝑀𝑃</t>
  </si>
  <si>
    <t>38.4.Σ𝐼𝑃𝑀𝑚𝑢𝑛𝑖𝑐𝑖𝑝𝑖𝑜𝑠 𝑛𝑜 𝑝𝑟𝑜𝑑𝑢𝑐𝑡𝑜𝑟𝑒𝑠</t>
  </si>
  <si>
    <t>38.5.𝑁ú𝑚𝑒𝑟𝑜 𝑑𝑒 𝑚𝑢𝑛𝑖𝑐𝑖𝑝𝑖𝑜𝑠 𝑛𝑜 𝑝𝑟𝑜𝑑𝑢𝑐𝑡𝑜𝑟𝑒𝑠</t>
  </si>
  <si>
    <t>38.6.𝐼𝑃𝑀 𝑃𝑀𝑁𝑃</t>
  </si>
  <si>
    <t>Interpretación del Indicador de Diferencia Relativa Promedio IPM</t>
  </si>
  <si>
    <t>39.Índice de cobertura y equidad territorial en municipios productores</t>
  </si>
  <si>
    <t>39.1.# 𝑑𝑒 𝑏𝑒𝑛𝑒𝑓𝑖𝑐𝑖𝑎𝑟𝑖𝑜𝑠 𝑎𝑙𝑐𝑎𝑛𝑧𝑎𝑑𝑜𝑠</t>
  </si>
  <si>
    <t>39.2.# 𝑑𝑒 𝑚𝑢𝑛𝑖𝑐𝑖𝑝𝑖𝑜𝑠 𝑏𝑒𝑛𝑒𝑓𝑖𝑐𝑖𝑎𝑑𝑜𝑠 𝑐𝑜𝑛 𝑃𝐵𝐶</t>
  </si>
  <si>
    <t>39.3.𝑃𝑜𝑏𝑙𝑎𝑐𝑖ó𝑛 𝑡𝑜𝑡𝑎𝑙 𝑑𝑒 𝑙𝑜𝑠 𝑀.𝑃</t>
  </si>
  <si>
    <t>39.4.𝑇𝑜𝑡𝑎𝑙 𝑑𝑒 𝑚𝑢𝑛𝑖𝑐𝑖𝑝𝑖𝑜𝑠 𝑝𝑟𝑜𝑑𝑢𝑐𝑡𝑜𝑟𝑒𝑠</t>
  </si>
  <si>
    <t>Interpretación del resultado del indicador de cobertura y equidad territorial en municipios productores</t>
  </si>
  <si>
    <t>40.Participación de los hidrocarburos en la matriz energética (IPHME)</t>
  </si>
  <si>
    <t>40.1. 𝐶𝑜𝑛𝑠𝑢𝑚𝑜 𝑑𝑒 ℎ𝑖𝑑𝑟𝑜𝑐𝑎𝑟𝑏𝑢𝑟𝑜𝑠 𝑒𝑛 𝑙𝑎 𝑒𝑛𝑒𝑟𝑔í𝑎 𝑡𝑜𝑡𝑎𝑙 (𝑇𝐽)</t>
  </si>
  <si>
    <t>40.2.𝑇𝑜𝑡𝑎𝑙 𝑑𝑒 𝑚𝑢𝑛𝑖𝑐𝑖𝑝𝑖𝑜𝑠 𝑝𝑟𝑜𝑑𝑢𝑐𝑡𝑜𝑟𝑒𝑠𝐶𝑜𝑛𝑠𝑢𝑚𝑜 𝑡𝑜𝑡𝑎𝑙 𝑑𝑒 𝑒𝑛𝑒𝑟𝑔í𝑎 (𝑇𝐽</t>
  </si>
  <si>
    <t>Interpretación del resultado del indicador participación de los hidrocarburos en la matriz energética</t>
  </si>
  <si>
    <t>41.Variación del stock de hidrocarburos</t>
  </si>
  <si>
    <t>41.2.𝑆𝑡𝑜𝑐𝑘 𝑎𝑝𝑒𝑟𝑡𝑢𝑟𝑎 𝑔𝑎𝑠 (𝑇𝐽)</t>
  </si>
  <si>
    <t>41.1.𝑆𝑡𝑜𝑐𝑘 𝑎𝑝𝑒𝑟𝑡𝑢𝑟𝑎 𝑝𝑒𝑡𝑟ó𝑙𝑒𝑜 (𝑇𝐽)</t>
  </si>
  <si>
    <t>41.3. 𝑅𝑒𝑠𝑒𝑟𝑣𝑎𝑠 𝑖𝑛𝑖𝑐𝑖𝑎𝑙𝑒𝑠</t>
  </si>
  <si>
    <t>41.5.𝑆𝑡𝑜𝑐𝑘 𝑐𝑖𝑒𝑟𝑟𝑒 𝑔𝑎𝑠 (𝑇𝐽)</t>
  </si>
  <si>
    <t>41.4.𝑐𝑖𝑒𝑟𝑟𝑒 𝑝𝑒𝑡𝑟ó𝑙𝑒𝑜 (𝑇𝐽)</t>
  </si>
  <si>
    <t>41.6. 𝑅𝑒𝑠𝑒𝑟𝑣𝑎𝑠 𝑓𝑖𝑛𝑎𝑙𝑒𝑠</t>
  </si>
  <si>
    <t>Interpretación del resultado indicador variación del stock de hidrocarburos</t>
  </si>
  <si>
    <t>42. Disponibilidad de reservas de hidrocarburos (R/P)</t>
  </si>
  <si>
    <t>42.2.𝐸𝑥𝑡𝑟𝑎𝑐𝑐𝑖ó𝑛 𝑔𝑎𝑠 (𝑇𝐽)</t>
  </si>
  <si>
    <t>42.1.𝐸𝑥𝑡𝑟𝑎𝑐𝑐𝑖ó𝑛 𝑝𝑒𝑡𝑟ó𝑙𝑒𝑜 (𝑇𝐽)</t>
  </si>
  <si>
    <t>42.3.𝐸𝑥𝑡𝑟𝑎𝑐𝑐𝑖ó𝑛</t>
  </si>
  <si>
    <t>42.4.𝑆𝑡𝑜𝑐𝑘 𝑑𝑒 𝑐𝑖𝑒𝑟𝑟𝑒 𝑝𝑒𝑡𝑟ó𝑙𝑒𝑜</t>
  </si>
  <si>
    <t>42.5.𝑆𝑡𝑜𝑐𝑘 𝑑𝑒 𝑐𝑖𝑒𝑟𝑟𝑒 𝑔𝑎𝑠</t>
  </si>
  <si>
    <t>42.6.𝑆𝑡𝑜𝑐𝑘 𝑑𝑒 𝑐𝑖𝑒𝑟𝑟𝑒</t>
  </si>
  <si>
    <t>Interpretación del resultado indicador disponibilidad de reservas de hidrocarburos R/P</t>
  </si>
  <si>
    <t>43.Tasa de extracción de hidrocarburos (TEH)</t>
  </si>
  <si>
    <t>43.1.𝐸𝑥𝑡𝑟𝑎𝑐𝑐𝑖ó𝑛 𝑝𝑒𝑡𝑟ó𝑙𝑒𝑜 (𝑇𝐽)</t>
  </si>
  <si>
    <t>43.2.𝐸𝑥𝑡𝑟𝑎𝑐𝑐𝑖ó𝑛 𝑔𝑎𝑠 (𝑇𝐽)</t>
  </si>
  <si>
    <t>43.3.𝐸𝑥𝑡𝑟𝑎𝑐𝑐𝑖ó𝑛</t>
  </si>
  <si>
    <t>43.4.𝑆𝑡𝑜𝑐𝑘 𝑎𝑝𝑒𝑟𝑡𝑢𝑟𝑎 𝑝𝑒𝑡𝑟ó𝑙𝑒𝑜 (𝑇𝐽)</t>
  </si>
  <si>
    <t>43.5.𝑆𝑡𝑜𝑐𝑘 𝑎𝑝𝑒𝑟𝑡𝑢𝑟𝑎 𝑔𝑎𝑠 (𝑇𝐽)</t>
  </si>
  <si>
    <t>43.7.𝐼𝑛𝑐𝑟𝑒𝑚𝑒𝑛𝑡𝑜𝑠 𝑎𝑙 𝑠𝑡𝑜𝑐𝑘 𝑔𝑎𝑠 (𝑇𝐽)</t>
  </si>
  <si>
    <t>43.6.𝐼𝑛𝑐𝑟𝑒𝑚𝑒𝑛𝑡𝑜𝑠 𝑎𝑙 𝑠𝑡𝑜𝑐𝑘 𝑝𝑒𝑡𝑟ó𝑙𝑒𝑜 (𝑇𝐽)</t>
  </si>
  <si>
    <t>43.8.𝐼𝑛𝑐𝑟𝑒𝑚𝑒𝑛𝑡𝑜𝑠 𝑎𝑙 𝑠𝑡𝑜𝑐𝑘</t>
  </si>
  <si>
    <t>43.9.𝐼𝑛𝑐𝑟𝑒𝑚𝑒𝑛𝑡𝑜𝑠 𝑎𝑙 𝑠𝑡𝑜𝑐𝑘</t>
  </si>
  <si>
    <t>Interpretación del resultado indicador tasa de extracción de hidrocarburos</t>
  </si>
  <si>
    <t>44.Superposición de títulos mineros activos con áreas ambientales excluibles, restrictivas e informativas para la minería</t>
  </si>
  <si>
    <t>44.1. Número de títulos activos en etapa de evaluación técnica anticipada</t>
  </si>
  <si>
    <t>44.2. Área en hectáreas de títulos activos en etapa de evaluación técnica anticipada</t>
  </si>
  <si>
    <t>44.3. Número de títulos activos en etapa de construcción y montaje</t>
  </si>
  <si>
    <t>44.4. Área en hectáreas de títulos activos en etapa de construcción y montaje</t>
  </si>
  <si>
    <t>44.5. Número de títulos activos en etapa de explotación</t>
  </si>
  <si>
    <t>44.6. Área en hectáreas de títulos activos en etapa de explotación</t>
  </si>
  <si>
    <t>44.7. Número total de títulos activos</t>
  </si>
  <si>
    <t>44.8. Área total en hectáreas de títulos activos</t>
  </si>
  <si>
    <t>44.9. Número de títulos mineros superpuestos en área de exclusión</t>
  </si>
  <si>
    <t>44.10. Área en hectáreas de títulos en etapa de construcción y montaje superpuestos en área de exclusión</t>
  </si>
  <si>
    <t>44.11. Área en hectáreas de títulos en etapa de explotación superpuestos en área de exclusión</t>
  </si>
  <si>
    <t>44.12. Área total en hectáreas de títulos mineros superpuestos en área de exclusión</t>
  </si>
  <si>
    <t>44.13. Número de títulos mineros superpuestos en área de restricción</t>
  </si>
  <si>
    <t>44.14. Área en hectáreas de títulos en etapa de construcción y montaje superpuestos en área de restricción</t>
  </si>
  <si>
    <t>44.15. Área en hectáreas de títulos en etapa de explotación superpuestos en área de restricción</t>
  </si>
  <si>
    <t>44.16. Área total en hectáreas de títulos mineros superpuestos en área de restricción</t>
  </si>
  <si>
    <t>44.17. Número de títulos mineros superpuestos en área informativa</t>
  </si>
  <si>
    <t>44.18. Área en hectáreas de títulos en etapa de construcción y montaje superpuestos en área informativa</t>
  </si>
  <si>
    <t>44.19. Área en hectáreas de títulos en etapa de explotación superpuestos en área informativa</t>
  </si>
  <si>
    <t>44.20. Área total en hectáreas de títulos mineros superpuestos en área informativa</t>
  </si>
  <si>
    <t>44.21. Área en hectáreas de títulos en etapa de construcción y montaje superpuestos en zonas de protección y desarrollo de los recursos naturales renovables</t>
  </si>
  <si>
    <t>44.22. Área en hectáreas de títulos en etapa de explotación superpuestos en zonas de protección y desarrollo de los recursos naturales renovables</t>
  </si>
  <si>
    <t>44.23. Área total en hectáreas de títulos mineros superpuestos en zonas de protección y desarrollo de los recursos naturales renovables</t>
  </si>
  <si>
    <t>44.24. Área en hectáreas de títulos en etapa de construcción y montaje superpuestos en zonas de exclusión ambiental para la minería</t>
  </si>
  <si>
    <t>44.25. Área en hectáreas de títulos en etapa de explotación superpuestos en zonas de exclusión ambiental para la minería</t>
  </si>
  <si>
    <t>44.26. Área total en hectáreas de títulos mineros superpuestos en zonas de exclusión ambiental para la minería</t>
  </si>
  <si>
    <t>44.27. Área en hectáreas de títulos en etapa de construcción y montaje superpuestos en sitios RAMSAR</t>
  </si>
  <si>
    <t>44.28. Área en hectáreas de títulos en etapa de explotación superpuestos en sitios RAMSAR</t>
  </si>
  <si>
    <t>44.29. Área total en hectáreas de títulos mineros superpuestos en sitios RAMSAR</t>
  </si>
  <si>
    <t>44.30. Área en hectáreas de títulos en etapa de construcción y montaje superpuestos en Sabana de Bogotá</t>
  </si>
  <si>
    <t>44.31. Área en hectáreas de títulos en etapa de explotación superpuestos en Sabana de Bogotá</t>
  </si>
  <si>
    <t>44.32. Área total en hectáreas de títulos mineros superpuestos en Sabana de Bogotá</t>
  </si>
  <si>
    <t>44.33. Área en hectáreas de títulos en etapa de construcción y montaje superpuestos en Páramos 1:25.000</t>
  </si>
  <si>
    <t>44.34. Área en hectáreas de títulos en etapa de explotación superpuestos en Páramos 1:25.000</t>
  </si>
  <si>
    <t>44.35. Área total en hectáreas de títulos mineros superpuestos en Páramos 1:25.000</t>
  </si>
  <si>
    <t>44.36. Área en hectáreas de títulos en etapa de construcción y montaje superpuestos en Páramos 1:100.000</t>
  </si>
  <si>
    <t>44.37. Área en hectáreas de títulos en etapa de explotación superpuestos en Páramos 1:100.000</t>
  </si>
  <si>
    <t>44.38. Área total en hectáreas de títulos mineros superpuestos en Páramos 1:100.000</t>
  </si>
  <si>
    <t>44.39. Área en hectáreas de títulos en etapa de construcción y montaje superpuestos en Áreas Protegidas (SINAP)</t>
  </si>
  <si>
    <t>44.40. Área en hectáreas de títulos en etapa de explotación superpuestos en Áreas Protegidas (SINAP)</t>
  </si>
  <si>
    <t>44.41. Área total en hectáreas de títulos mineros superpuestos en Áreas Protegidas (SINAP)</t>
  </si>
  <si>
    <t>44.42. Área en hectáreas de títulos en etapa de construcción y montaje superpuestos en Páramo de Santurbán</t>
  </si>
  <si>
    <t>44.43. Área en hectáreas de títulos en etapa de explotación superpuestos en Páramo de Santurbán</t>
  </si>
  <si>
    <t>44.44. Área total en hectáreas de títulos mineros superpuestos en Páramo de Santurbán</t>
  </si>
  <si>
    <t>44.45. Área en hectáreas de títulos en etapa de construcción y montaje superpuestos en zonas de restricción minera</t>
  </si>
  <si>
    <t>44.46. Área en hectáreas de títulos en etapa de explotación superpuestos en zonas de restricción minera</t>
  </si>
  <si>
    <t>44.47. Área total en hectáreas de títulos mineros superpuestos en zonas de restricción minera</t>
  </si>
  <si>
    <t>44.48. Área en hectáreas de títulos en etapa de construcción y montaje superpuestos en Paisaje Cultural Cafetero</t>
  </si>
  <si>
    <t>44.49. Área en hectáreas de títulos en etapa de explotación superpuestos en Paisaje Cultural Cafetero</t>
  </si>
  <si>
    <t>44.50. Área total en hectáreas de títulos mineros superpuestos en Paisaje Cultural Cafetero</t>
  </si>
  <si>
    <t>44.51. Área en hectáreas de títulos en etapa de construcción y montaje superpuestos en Reserva Forestal de Ley Segunda</t>
  </si>
  <si>
    <t>44.52. Área en hectáreas de títulos en etapa de explotación superpuestos en Reserva Forestal de Ley Segunda</t>
  </si>
  <si>
    <t>44.53. Área total en hectáreas de títulos mineros superpuestos en Reserva Forestal de Ley Segunda</t>
  </si>
  <si>
    <t>44.54. Área en hectáreas de títulos en etapa de construcción y montaje superpuestos en Zona de Compensación</t>
  </si>
  <si>
    <t>44.55. Área en hectáreas de títulos en etapa de explotación superpuestos en Zona de Compensación</t>
  </si>
  <si>
    <t>44.56. Área total en hectáreas de títulos mineros superpuestos en Zona de Compensación</t>
  </si>
  <si>
    <t>44.57. Área en hectáreas de títulos en etapa de construcción y montaje superpuestos en Bosques de Paz</t>
  </si>
  <si>
    <t>44.58. Área en hectáreas de títulos en etapa de explotación superpuestos en Bosques de Paz</t>
  </si>
  <si>
    <t>44.59. Área total en hectáreas de títulos mineros superpuestos en Bosques de Paz</t>
  </si>
  <si>
    <t>44.60. Área en hectáreas de títulos en etapa de construcción y montaje superpuestos en Otras Áreas Protegidas</t>
  </si>
  <si>
    <t>44.61. Área en hectáreas de títulos en etapa de explotación superpuestos en Otras Áreas Protegidas</t>
  </si>
  <si>
    <t>44.62. Área total en hectáreas de títulos mineros superpuestos en Otras Áreas Protegidas</t>
  </si>
  <si>
    <t>44.63. Área en hectáreas de títulos en etapa de construcción y montaje superpuestos en Reserva de la Biosfera</t>
  </si>
  <si>
    <t>44.64. Área en hectáreas de títulos en etapa de explotación superpuestos en Reserva de la Biosfera</t>
  </si>
  <si>
    <t>44.65. Área total en hectáreas de títulos mineros superpuestos en Reserva de la Biosfera</t>
  </si>
  <si>
    <t xml:space="preserve">44.67. suma areas Superposición títulos mineros activos con áreas de exclusión ambiental etapa construccion y montaje </t>
  </si>
  <si>
    <t>44.68. suma areas Superposición títulos mineros activos con áreas de exclusión ambiental etapa explotacion</t>
  </si>
  <si>
    <t>44.69. sumatoria total  suma areas Superposición títulos mineros activos con áreas de exclusión</t>
  </si>
  <si>
    <t xml:space="preserve">44.67. suma areas Superposición títulos mineros activos con áreas de restriccion ambiental etapa construccion y montaje </t>
  </si>
  <si>
    <t>44.68. suma areas Superposición títulos mineros activos con áreas de restriccion ambiental etapa explotacion</t>
  </si>
  <si>
    <t>44.69. sumatoria total  suma areas Superposición títulos mineros activos con áreas de restriccion</t>
  </si>
  <si>
    <t xml:space="preserve">44.70. suma areas Superposición títulos mineros activos con áreas de informativas ambiental etapa construccion y montaje </t>
  </si>
  <si>
    <t>44.71. suma areas Superposición títulos mineros activos con áreas de informativas ambiental etapa explotacion</t>
  </si>
  <si>
    <t>44.72. sumatoria total  suma areas Superposición títulos mineros activos con áreas de informativas</t>
  </si>
  <si>
    <t>44.73 %𝑆𝑇𝑀𝐸</t>
  </si>
  <si>
    <t>44.74 %𝑆𝑇𝑀𝑅</t>
  </si>
  <si>
    <t>44.75.%𝑆𝑇𝑀𝐼</t>
  </si>
  <si>
    <t>44.76.Intervalos de puntaje para determinar el índice de gobernanza excluible</t>
  </si>
  <si>
    <t>44.77.Intervalos de puntaje para determinar el índice de gobernanza restrictiva</t>
  </si>
  <si>
    <t>44.78.Intervalos de puntaje para determinar el índice de gobernanza informativa</t>
  </si>
  <si>
    <t>Resultados e Interpretación del porcentaje de superposición de áreas con la ponderación del índice de gobernanza año 2023</t>
  </si>
  <si>
    <t>45.Superposición de áreas de reserva especial declaradas y solicitadas con áreas ambientales excluibles, restrictivas e informativas para la minería</t>
  </si>
  <si>
    <t>45.1. Número de Áreas de Reserva Especial declaradas superpuestas en zona de exclusión</t>
  </si>
  <si>
    <t>45.2. Área total en hectáreas de Áreas de Reserva Especial declaradas superpuestas en zona de exclusión</t>
  </si>
  <si>
    <t>45.3. Número de Áreas de Reserva Especial declaradas superpuestas en zona de restricción</t>
  </si>
  <si>
    <t>45.4. Área total en hectáreas de Áreas de Reserva Especial declaradas superpuestas en zona de restricción</t>
  </si>
  <si>
    <t>45.5. Número de Áreas de Reserva Especial declaradas superpuestas en zona informativa</t>
  </si>
  <si>
    <t>45.6. Área total en hectáreas de Áreas de Reserva Especial declaradas superpuestas en zona informativa</t>
  </si>
  <si>
    <t>45.7. Superposición en hectáreas de títulos mineros con Páramos 1:100.000</t>
  </si>
  <si>
    <t>45.8. Superposición en hectáreas de títulos mineros con Páramo de Santurbán</t>
  </si>
  <si>
    <t>45.9. Superposición en hectáreas de títulos mineros con Exclusión ambiental para la minería</t>
  </si>
  <si>
    <t>45.10. Superposición en hectáreas de títulos mineros con Sabana de Bogotá</t>
  </si>
  <si>
    <t>45.11. Superposición en hectáreas de títulos mineros con Zonas de protección y desarrollo de recursos naturales renovables</t>
  </si>
  <si>
    <t>45.12. Superposición total en hectáreas de títulos mineros con estas coberturas ambientales</t>
  </si>
  <si>
    <t>45.13. Superposición en hectáreas de títulos mineros con Reserva Forestal de Ley Segunda</t>
  </si>
  <si>
    <t>45.14. Superposición en hectáreas de títulos mineros con Paisaje Cultural Cafetero</t>
  </si>
  <si>
    <t>45.15. Superposición en hectáreas de títulos mineros con Zonas de restricción minera</t>
  </si>
  <si>
    <t>45.16. Superposición total en hectáreas de títulos mineros con estas coberturas ambientales</t>
  </si>
  <si>
    <r>
      <t>45.16.</t>
    </r>
    <r>
      <rPr>
        <sz val="11"/>
        <color theme="1"/>
        <rFont val="Calibri"/>
        <family val="2"/>
        <scheme val="minor"/>
      </rPr>
      <t xml:space="preserve"> Superposición en hectáreas de títulos mineros con Otras Áreas Protegidas</t>
    </r>
  </si>
  <si>
    <r>
      <t>45.17.</t>
    </r>
    <r>
      <rPr>
        <sz val="11"/>
        <color theme="1"/>
        <rFont val="Calibri"/>
        <family val="2"/>
        <scheme val="minor"/>
      </rPr>
      <t xml:space="preserve"> Superposición en hectáreas de títulos mineros con Reserva de la Biosfera</t>
    </r>
  </si>
  <si>
    <r>
      <t>45.18.</t>
    </r>
    <r>
      <rPr>
        <sz val="11"/>
        <color theme="1"/>
        <rFont val="Calibri"/>
        <family val="2"/>
        <scheme val="minor"/>
      </rPr>
      <t xml:space="preserve"> Superposición total en hectáreas de títulos mineros con estas coberturas ambientales</t>
    </r>
  </si>
  <si>
    <t>45.19.%𝑆𝐴𝑅𝐸(𝐸)</t>
  </si>
  <si>
    <t>45.20 %𝑆𝐴𝑅𝐸(𝑅)</t>
  </si>
  <si>
    <t>45.21.%𝑆𝐴𝑅𝐸(𝐼)</t>
  </si>
  <si>
    <t xml:space="preserve">45.22.Resultados e Interpretación del porcentaje de superposición de áreas excluision </t>
  </si>
  <si>
    <t>45.23.Resultados e Interpretación del porcentaje de superposición de áreas restrictivas</t>
  </si>
  <si>
    <t>45.24.Resultados e Interpretación del porcentaje de superposición de áreas informativas</t>
  </si>
  <si>
    <t>46.Procesos de formalización y registro minero</t>
  </si>
  <si>
    <r>
      <t>46.1.</t>
    </r>
    <r>
      <rPr>
        <sz val="11"/>
        <color theme="1"/>
        <rFont val="Calibri"/>
        <family val="2"/>
        <scheme val="minor"/>
      </rPr>
      <t xml:space="preserve"> Número de procesos en el país bajo la Solicitud de Formalización Ley 1955 de 2019, Art. 325</t>
    </r>
  </si>
  <si>
    <r>
      <t>46.2.</t>
    </r>
    <r>
      <rPr>
        <sz val="11"/>
        <color theme="1"/>
        <rFont val="Calibri"/>
        <family val="2"/>
        <scheme val="minor"/>
      </rPr>
      <t xml:space="preserve"> Número de mineros formalizados bajo la Solicitud de Formalización Ley 1955 de 2019, Art. 325</t>
    </r>
  </si>
  <si>
    <r>
      <t>46.3.</t>
    </r>
    <r>
      <rPr>
        <sz val="11"/>
        <color theme="1"/>
        <rFont val="Calibri"/>
        <family val="2"/>
        <scheme val="minor"/>
      </rPr>
      <t xml:space="preserve"> Número de procesos en el país bajo la Regularización en el marco de la Ley 685 de 2001</t>
    </r>
  </si>
  <si>
    <r>
      <t>46.4.</t>
    </r>
    <r>
      <rPr>
        <sz val="11"/>
        <color theme="1"/>
        <rFont val="Calibri"/>
        <family val="2"/>
        <scheme val="minor"/>
      </rPr>
      <t xml:space="preserve"> Número de mineros formalizados bajo la Regularización en el marco de la Ley 685 de 2001</t>
    </r>
  </si>
  <si>
    <r>
      <t>46.5.</t>
    </r>
    <r>
      <rPr>
        <sz val="11"/>
        <color theme="1"/>
        <rFont val="Calibri"/>
        <family val="2"/>
        <scheme val="minor"/>
      </rPr>
      <t xml:space="preserve"> Número de procesos en el país bajo el mecanismo de Área de Reserva Especial</t>
    </r>
  </si>
  <si>
    <r>
      <t>46.6.</t>
    </r>
    <r>
      <rPr>
        <sz val="11"/>
        <color theme="1"/>
        <rFont val="Calibri"/>
        <family val="2"/>
        <scheme val="minor"/>
      </rPr>
      <t xml:space="preserve"> Número de mineros formalizados bajo el mecanismo de Área de Reserva Especial</t>
    </r>
  </si>
  <si>
    <r>
      <t>46.7.</t>
    </r>
    <r>
      <rPr>
        <sz val="11"/>
        <color theme="1"/>
        <rFont val="Calibri"/>
        <family val="2"/>
        <scheme val="minor"/>
      </rPr>
      <t xml:space="preserve"> Número de procesos en el país bajo Subcontrato de Formalización Minera</t>
    </r>
  </si>
  <si>
    <r>
      <t>46.8.</t>
    </r>
    <r>
      <rPr>
        <sz val="11"/>
        <color theme="1"/>
        <rFont val="Calibri"/>
        <family val="2"/>
        <scheme val="minor"/>
      </rPr>
      <t xml:space="preserve"> Número de mineros formalizados bajo Subcontrato de Formalización Minera</t>
    </r>
  </si>
  <si>
    <r>
      <t>46.9.</t>
    </r>
    <r>
      <rPr>
        <sz val="11"/>
        <color theme="1"/>
        <rFont val="Calibri"/>
        <family val="2"/>
        <scheme val="minor"/>
      </rPr>
      <t xml:space="preserve"> Número de procesos en el país bajo la Propuesta de Contrato de Concesión Diferencial (PCCD)</t>
    </r>
  </si>
  <si>
    <r>
      <t>46.10.</t>
    </r>
    <r>
      <rPr>
        <sz val="11"/>
        <color theme="1"/>
        <rFont val="Calibri"/>
        <family val="2"/>
        <scheme val="minor"/>
      </rPr>
      <t xml:space="preserve"> Número de mineros formalizados bajo la Propuesta de Contrato de Concesión Diferencial (PCCD)</t>
    </r>
  </si>
  <si>
    <r>
      <t>46.11.</t>
    </r>
    <r>
      <rPr>
        <sz val="11"/>
        <color theme="1"/>
        <rFont val="Calibri"/>
        <family val="2"/>
        <scheme val="minor"/>
      </rPr>
      <t xml:space="preserve"> Total general de procesos de formalización minera en el país</t>
    </r>
  </si>
  <si>
    <r>
      <t>46.12.</t>
    </r>
    <r>
      <rPr>
        <sz val="11"/>
        <color theme="1"/>
        <rFont val="Calibri"/>
        <family val="2"/>
        <scheme val="minor"/>
      </rPr>
      <t xml:space="preserve"> Total general de mineros formalizados en el país</t>
    </r>
  </si>
  <si>
    <r>
      <t>46.13.</t>
    </r>
    <r>
      <rPr>
        <sz val="11"/>
        <color theme="1"/>
        <rFont val="Calibri"/>
        <family val="2"/>
        <scheme val="minor"/>
      </rPr>
      <t xml:space="preserve"> Total de contratos de formalización bajo Solicitudes de Legalización (Ley 685 de 2001 y Ley 1955 de 2019)</t>
    </r>
  </si>
  <si>
    <r>
      <t>46.14.</t>
    </r>
    <r>
      <rPr>
        <sz val="11"/>
        <color theme="1"/>
        <rFont val="Calibri"/>
        <family val="2"/>
        <scheme val="minor"/>
      </rPr>
      <t xml:space="preserve"> Número de beneficiarios directos bajo Solicitudes de Legalización</t>
    </r>
  </si>
  <si>
    <r>
      <t>46.15.</t>
    </r>
    <r>
      <rPr>
        <sz val="11"/>
        <color theme="1"/>
        <rFont val="Calibri"/>
        <family val="2"/>
        <scheme val="minor"/>
      </rPr>
      <t xml:space="preserve"> Número de beneficiarios indirectos bajo Solicitudes de Legalización</t>
    </r>
  </si>
  <si>
    <r>
      <t>46.16.</t>
    </r>
    <r>
      <rPr>
        <sz val="11"/>
        <color theme="1"/>
        <rFont val="Calibri"/>
        <family val="2"/>
        <scheme val="minor"/>
      </rPr>
      <t xml:space="preserve"> Total de contratos de formalización bajo Contratos Especiales de Concesión (Área de Reserva Especial)</t>
    </r>
  </si>
  <si>
    <r>
      <t>46.17.</t>
    </r>
    <r>
      <rPr>
        <sz val="11"/>
        <color theme="1"/>
        <rFont val="Calibri"/>
        <family val="2"/>
        <scheme val="minor"/>
      </rPr>
      <t xml:space="preserve"> Número de beneficiarios directos bajo Contratos Especiales de Concesión</t>
    </r>
  </si>
  <si>
    <r>
      <t>46.18.</t>
    </r>
    <r>
      <rPr>
        <sz val="11"/>
        <color theme="1"/>
        <rFont val="Calibri"/>
        <family val="2"/>
        <scheme val="minor"/>
      </rPr>
      <t xml:space="preserve"> Número de beneficiarios indirectos bajo Contratos Especiales de Concesión</t>
    </r>
  </si>
  <si>
    <r>
      <t>46.19.</t>
    </r>
    <r>
      <rPr>
        <sz val="11"/>
        <color theme="1"/>
        <rFont val="Calibri"/>
        <family val="2"/>
        <scheme val="minor"/>
      </rPr>
      <t xml:space="preserve"> Total de contratos de formalización bajo Subcontratos de Formalización Minera (Aprobadas)</t>
    </r>
  </si>
  <si>
    <r>
      <t>46.20.</t>
    </r>
    <r>
      <rPr>
        <sz val="11"/>
        <color theme="1"/>
        <rFont val="Calibri"/>
        <family val="2"/>
        <scheme val="minor"/>
      </rPr>
      <t xml:space="preserve"> Número de beneficiarios directos bajo Subcontratos de Formalización Minera</t>
    </r>
  </si>
  <si>
    <r>
      <t>46.21.</t>
    </r>
    <r>
      <rPr>
        <sz val="11"/>
        <color theme="1"/>
        <rFont val="Calibri"/>
        <family val="2"/>
        <scheme val="minor"/>
      </rPr>
      <t xml:space="preserve"> Número de beneficiarios indirectos bajo Subcontratos de Formalización Minera</t>
    </r>
  </si>
  <si>
    <r>
      <t>46.22.</t>
    </r>
    <r>
      <rPr>
        <sz val="11"/>
        <color theme="1"/>
        <rFont val="Calibri"/>
        <family val="2"/>
        <scheme val="minor"/>
      </rPr>
      <t xml:space="preserve"> Total de contratos de formalización bajo Contratos de Concesión con requisitos diferenciales (Devolución de Áreas para la Formalización)</t>
    </r>
  </si>
  <si>
    <r>
      <t>46.23.</t>
    </r>
    <r>
      <rPr>
        <sz val="11"/>
        <color theme="1"/>
        <rFont val="Calibri"/>
        <family val="2"/>
        <scheme val="minor"/>
      </rPr>
      <t xml:space="preserve"> Número de beneficiarios directos bajo Contratos de Concesión con requisitos diferenciales</t>
    </r>
  </si>
  <si>
    <r>
      <t>46.24.</t>
    </r>
    <r>
      <rPr>
        <sz val="11"/>
        <color theme="1"/>
        <rFont val="Calibri"/>
        <family val="2"/>
        <scheme val="minor"/>
      </rPr>
      <t xml:space="preserve"> Número de beneficiarios indirectos bajo Contratos de Concesión con requisitos diferenciales</t>
    </r>
  </si>
  <si>
    <r>
      <t>46.25.</t>
    </r>
    <r>
      <rPr>
        <sz val="11"/>
        <color theme="1"/>
        <rFont val="Calibri"/>
        <family val="2"/>
        <scheme val="minor"/>
      </rPr>
      <t xml:space="preserve"> Total general de contratos de formalización minera</t>
    </r>
  </si>
  <si>
    <r>
      <t>46.26.</t>
    </r>
    <r>
      <rPr>
        <sz val="11"/>
        <color theme="1"/>
        <rFont val="Calibri"/>
        <family val="2"/>
        <scheme val="minor"/>
      </rPr>
      <t xml:space="preserve"> Total general de beneficiarios directos</t>
    </r>
  </si>
  <si>
    <r>
      <t>46.27.</t>
    </r>
    <r>
      <rPr>
        <sz val="11"/>
        <color theme="1"/>
        <rFont val="Calibri"/>
        <family val="2"/>
        <scheme val="minor"/>
      </rPr>
      <t xml:space="preserve"> Total general de beneficiarios indirectos</t>
    </r>
  </si>
  <si>
    <t>46.28.%𝐸𝐹𝑀𝑆𝐿</t>
  </si>
  <si>
    <t>46.29.%𝐸𝐹𝑀𝐴𝑅𝐸</t>
  </si>
  <si>
    <t>46.30.%𝐸𝐹𝑀𝑆𝐹𝑀</t>
  </si>
  <si>
    <t>46.31.%𝐸𝐹𝑀𝐶𝐶𝐷</t>
  </si>
  <si>
    <t>Interpretación eficiencia consecución de procesos de formalización minera y puntaje de ponderación del índice de gobernanza</t>
  </si>
  <si>
    <t>Resultados e Interpretación del porcentaje de superposición de áreas con la ponderación del índice de gobernanza año 2024</t>
  </si>
  <si>
    <t>47.Áreas recuperadas por gestión y control a la explotación ilegal de minerales</t>
  </si>
  <si>
    <r>
      <t>47.1.</t>
    </r>
    <r>
      <rPr>
        <sz val="11"/>
        <color theme="1"/>
        <rFont val="Calibri"/>
        <family val="2"/>
        <scheme val="minor"/>
      </rPr>
      <t xml:space="preserve"> Área en hectáreas de explotación de oro de aluvión con permisos técnicos y/o ambientales (2021)</t>
    </r>
  </si>
  <si>
    <r>
      <t>47.2.</t>
    </r>
    <r>
      <rPr>
        <sz val="11"/>
        <color theme="1"/>
        <rFont val="Calibri"/>
        <family val="2"/>
        <scheme val="minor"/>
      </rPr>
      <t xml:space="preserve"> Área en hectáreas de explotación de oro de aluvión con permisos técnicos y/o ambientales (2022)</t>
    </r>
  </si>
  <si>
    <r>
      <t>47.3.</t>
    </r>
    <r>
      <rPr>
        <sz val="11"/>
        <color theme="1"/>
        <rFont val="Calibri"/>
        <family val="2"/>
        <scheme val="minor"/>
      </rPr>
      <t xml:space="preserve"> Área en hectáreas de explotación de oro de aluvión en tránsito a la legalidad (2021)</t>
    </r>
  </si>
  <si>
    <r>
      <t>47.4.</t>
    </r>
    <r>
      <rPr>
        <sz val="11"/>
        <color theme="1"/>
        <rFont val="Calibri"/>
        <family val="2"/>
        <scheme val="minor"/>
      </rPr>
      <t xml:space="preserve"> Área en hectáreas de explotación de oro de aluvión en tránsito a la legalidad (2022)</t>
    </r>
  </si>
  <si>
    <r>
      <t>47.5.</t>
    </r>
    <r>
      <rPr>
        <sz val="11"/>
        <color theme="1"/>
        <rFont val="Calibri"/>
        <family val="2"/>
        <scheme val="minor"/>
      </rPr>
      <t xml:space="preserve"> Área en hectáreas de explotación de oro de aluvión ilícita (2021)</t>
    </r>
  </si>
  <si>
    <r>
      <t>47.6.</t>
    </r>
    <r>
      <rPr>
        <sz val="11"/>
        <color theme="1"/>
        <rFont val="Calibri"/>
        <family val="2"/>
        <scheme val="minor"/>
      </rPr>
      <t xml:space="preserve"> Área en hectáreas de explotación de oro de aluvión ilícita (2022)</t>
    </r>
  </si>
  <si>
    <t>47.7.%𝐸𝑉𝑂𝐴𝑃𝑇𝐴−2022</t>
  </si>
  <si>
    <t>47.8.%𝐸𝑉𝑂𝐴𝑇𝐿−2022</t>
  </si>
  <si>
    <t>47.9%𝐸𝑉𝑂𝐴𝐼𝐿−2022</t>
  </si>
  <si>
    <t>Ponderación resultados año 2022</t>
  </si>
  <si>
    <t>48.Variación del Consumo de Energía Eléctrica en el país.</t>
  </si>
  <si>
    <t>48.1. Consumo total de energía año 2022 regulado (GWh)</t>
  </si>
  <si>
    <t>48.2. Consumo total de energía año 2022 no regulado (GWh)</t>
  </si>
  <si>
    <t>48.3. Consumo total de energía año 2022 (GWh)</t>
  </si>
  <si>
    <t>48.1. Consumo total de energía año 2023 regulado (GWh)</t>
  </si>
  <si>
    <t>48.2. Consumo total de energía año 2023 no regulado (GWh)</t>
  </si>
  <si>
    <t>48.3. Consumo total de energía año 2023 (GWh)</t>
  </si>
  <si>
    <t>Categorización del indicador.</t>
  </si>
  <si>
    <t>49.Variación en el nivel de pobreza energética multidimensional nacional.</t>
  </si>
  <si>
    <t>49.2.PE2022</t>
  </si>
  <si>
    <t>49.1.PE2023</t>
  </si>
  <si>
    <t>50.Variación en la cobertura en el acceso al servicio de energía eléctrica en el país.</t>
  </si>
  <si>
    <t>50.1.VT: Es el número de viviendas totales</t>
  </si>
  <si>
    <t>50.2. VCS: Es el número de viviendas con servicio</t>
  </si>
  <si>
    <t>Categorización Indicador.</t>
  </si>
  <si>
    <t>51.Porcentaje de Informes de Sostenibilidad anuales publicados por empresas generadoras del país.</t>
  </si>
  <si>
    <t>50.3.𝐼𝐶𝐸𝐸</t>
  </si>
  <si>
    <t>50.4.ICEE2022</t>
  </si>
  <si>
    <t>51.1. Egeneradoras Pub IS Empresas Generadoras, del universo de estudio, publicaron el informe de sostenibilidad del año 2023.</t>
  </si>
  <si>
    <t>51.2.Egeneradoras (Unv) Empresas Generadoras son el Universo de estudio definido.</t>
  </si>
  <si>
    <t>Columna1</t>
  </si>
  <si>
    <t>Promedio de Porcentaje alcanzado</t>
  </si>
  <si>
    <t>organismo</t>
  </si>
  <si>
    <t>unidad</t>
  </si>
  <si>
    <t>año_vigencia</t>
  </si>
  <si>
    <t>Fecha_entrega</t>
  </si>
  <si>
    <t>Codigo</t>
  </si>
  <si>
    <t>Numero de derechos</t>
  </si>
  <si>
    <t>Numero de acciones</t>
  </si>
  <si>
    <t>https://www.minenergia.gov.co/es/misional/gestión-social-y-ambiental/derechos-humanos/</t>
  </si>
  <si>
    <t xml:space="preserve">https://www.minenergia.gov.co/es/misional/gestión-social-y-ambiental/derechos-humanos/ </t>
  </si>
  <si>
    <t xml:space="preserve">https://www.minenergia.gov.co/es/ministerio/gestión/presupuesto/presupuesto-general-asignado/ </t>
  </si>
  <si>
    <t>numero de alertas</t>
  </si>
  <si>
    <t>numero Documentos que</t>
  </si>
  <si>
    <t>numero Documentos de</t>
  </si>
  <si>
    <t>nuntidad evaluaciones expost</t>
  </si>
  <si>
    <t>nuumerodecretos sometidos</t>
  </si>
  <si>
    <t>nuormulen consulta</t>
  </si>
  <si>
    <t>nuromedio obtenido en el en el</t>
  </si>
  <si>
    <t>nuntaje al índice</t>
  </si>
  <si>
    <t>nuntaje en el</t>
  </si>
  <si>
    <t>nuntuación y funcionamiento</t>
  </si>
  <si>
    <t>nuumero de ordenes que no registran acciones pendientes ordenes que</t>
  </si>
  <si>
    <t>nuumero de procesos judiciales con procesos judiciales</t>
  </si>
  <si>
    <t>nuormula relacion que se entienden que se</t>
  </si>
  <si>
    <t>numatoria evento asistencia</t>
  </si>
  <si>
    <t>nuumatoevento Toma</t>
  </si>
  <si>
    <t>numatoria evento Pedagógico</t>
  </si>
  <si>
    <t>numatoria evento Planeación</t>
  </si>
  <si>
    <t>nusolución Conflicto</t>
  </si>
  <si>
    <t>numa Decisiones Participativas</t>
  </si>
  <si>
    <t>nuaneación rticipativ</t>
  </si>
  <si>
    <t>nuoblación discapacidad 2022</t>
  </si>
  <si>
    <t>nuíctimas conflicto armado</t>
  </si>
  <si>
    <t>nunteracción 2022</t>
  </si>
  <si>
    <t>nunteracción 2023</t>
  </si>
  <si>
    <t>nuPoblación discapacidad 2022</t>
  </si>
  <si>
    <t>nuVíctimas conflicto armado</t>
  </si>
  <si>
    <t>nuPoblación discapacidad 4044</t>
  </si>
  <si>
    <t>nu_xDC3C_𝑛𝑡𝑒𝑟𝑎𝑐𝑐𝑖ó𝑛 𝑐𝑎𝑏𝑒𝑧𝑎 𝑑𝑒</t>
  </si>
  <si>
    <t>nu_xDC4E_𝑐𝑐𝑖ó𝑛</t>
  </si>
  <si>
    <t>nu_xDC3C_𝑛𝑡𝑒𝑟𝑎𝑐𝑐𝑖ó𝑛 𝑐𝑜𝑛 𝑑𝑖𝑠𝑐𝑎𝑝𝑎𝑐𝑖𝑑𝑎𝑑</t>
  </si>
  <si>
    <t xml:space="preserve">nu_xDC3C_𝑛𝑡𝑒𝑟𝑎𝑐𝑐𝑖ó𝑛 𝑐𝑐𝑖ó𝑛 </t>
  </si>
  <si>
    <t>nu_xDC3C_𝑛𝑡𝑒𝑟𝑎𝑐𝑐𝑖ó𝑛 𝑑𝑒𝑙 𝑐𝑜𝑛𝑓𝑙𝑖𝑐𝑡𝑜</t>
  </si>
  <si>
    <t>nual sociales ambientales</t>
  </si>
  <si>
    <t>nutal cdentro de</t>
  </si>
  <si>
    <t>nuPQRS  atendidas</t>
  </si>
  <si>
    <t>nudel Agua</t>
  </si>
  <si>
    <t>nu20</t>
  </si>
  <si>
    <t>nuazul 2016 Energia</t>
  </si>
  <si>
    <t>nuazul 2016 Mineria</t>
  </si>
  <si>
    <t>nuazul 2016 Hidrocarburos</t>
  </si>
  <si>
    <t>nuazul 2020 Energia</t>
  </si>
  <si>
    <t>nuazul 2020 Mineria</t>
  </si>
  <si>
    <t>nuazul 2020 Hidrocarburos</t>
  </si>
  <si>
    <t>nude la</t>
  </si>
  <si>
    <t>nuenergia 2020</t>
  </si>
  <si>
    <t>nuenergia 2021</t>
  </si>
  <si>
    <t>nurea cenergia 2022</t>
  </si>
  <si>
    <t>nuenergia 2023</t>
  </si>
  <si>
    <t>nurea cmineria  2020</t>
  </si>
  <si>
    <t>numineria  2021</t>
  </si>
  <si>
    <t>nurea cmineria  2022</t>
  </si>
  <si>
    <t>numineria  2023</t>
  </si>
  <si>
    <t>nuhidrocarburos  2020</t>
  </si>
  <si>
    <t>nuhidrocarburos  2021</t>
  </si>
  <si>
    <t>nurea chidrocarburos  2022</t>
  </si>
  <si>
    <t>nuhidrocarburos  2023</t>
  </si>
  <si>
    <t>nudel área</t>
  </si>
  <si>
    <t>nuhectareas titulos</t>
  </si>
  <si>
    <t>nuhectareas  titulos</t>
  </si>
  <si>
    <t>nutitulos en</t>
  </si>
  <si>
    <t>nuÁrea total de</t>
  </si>
  <si>
    <t>nu total de</t>
  </si>
  <si>
    <t>numineros activos</t>
  </si>
  <si>
    <t>nuáreas ambientales</t>
  </si>
  <si>
    <t>nurea hectareas poligono</t>
  </si>
  <si>
    <t>nuen hectareas</t>
  </si>
  <si>
    <t>nuuperposición poligonos de</t>
  </si>
  <si>
    <t>nupoligonos hidrocarburos</t>
  </si>
  <si>
    <t>nurea total de</t>
  </si>
  <si>
    <t>nulineas de</t>
  </si>
  <si>
    <t>nudeterminantes ambientales</t>
  </si>
  <si>
    <t>nusuperposición titulos</t>
  </si>
  <si>
    <t>nu superposición titulos</t>
  </si>
  <si>
    <t>nude títulos</t>
  </si>
  <si>
    <t>nu 𝑆𝑒𝑐𝑡𝑜</t>
  </si>
  <si>
    <t>nu polígonos  hidrocarburos</t>
  </si>
  <si>
    <t>nu 𝑒𝑛𝑒𝑟𝑔í𝑎 𝑒𝑙é𝑐𝑡𝑟𝑖𝑐𝑎</t>
  </si>
  <si>
    <t>nudistribución de</t>
  </si>
  <si>
    <t>nucon distribución</t>
  </si>
  <si>
    <t>nuexploración Superposición</t>
  </si>
  <si>
    <t>nuproducción Superposición</t>
  </si>
  <si>
    <t>nuhidrocarburos distribución</t>
  </si>
  <si>
    <t>nurea de títulos</t>
  </si>
  <si>
    <t>nu Exploraci</t>
  </si>
  <si>
    <t>nuConstrucción y</t>
  </si>
  <si>
    <t>nu Explotaci</t>
  </si>
  <si>
    <t>nu_xDC46_𝑒𝑐𝑡𝑜_xD835_</t>
  </si>
  <si>
    <t>nu Producció</t>
  </si>
  <si>
    <t>nu _xDC36_ 𝑆𝑒𝑐𝑡</t>
  </si>
  <si>
    <t>nu de transmisión</t>
  </si>
  <si>
    <t>nupetróleo crudo</t>
  </si>
  <si>
    <t>nuapoyo para</t>
  </si>
  <si>
    <t>nuproductos de</t>
  </si>
  <si>
    <t>nugas natural</t>
  </si>
  <si>
    <t>nutuberías</t>
  </si>
  <si>
    <t>nugas, distribución</t>
  </si>
  <si>
    <t>nuEconómica CIIU</t>
  </si>
  <si>
    <t>nuTon Respel</t>
  </si>
  <si>
    <t>nuaño 2022 Millones</t>
  </si>
  <si>
    <t>nuaño 2022 En</t>
  </si>
  <si>
    <t>nuaño 2022 Pies</t>
  </si>
  <si>
    <t>nuaño 2022 BEP</t>
  </si>
  <si>
    <t>nuhidrocarburos barril</t>
  </si>
  <si>
    <t>nuproducción gas</t>
  </si>
  <si>
    <t>nu de minería</t>
  </si>
  <si>
    <t>nude energía</t>
  </si>
  <si>
    <t>nuenerade energía</t>
  </si>
  <si>
    <t>nu_xDC60_𝑝𝑒𝑙 Hi</t>
  </si>
  <si>
    <t>nu_xDC60_𝑝𝑒𝑙 Mi</t>
  </si>
  <si>
    <t>nu_xDC60_𝑝𝑒𝑙 En</t>
  </si>
  <si>
    <t>nucenciotorgadas subsector</t>
  </si>
  <si>
    <t>nucencisolicitadas subsector</t>
  </si>
  <si>
    <t>nuencias solicitadas subsector</t>
  </si>
  <si>
    <t>nuambientales hidrocarburos</t>
  </si>
  <si>
    <t>nuambientales mineria</t>
  </si>
  <si>
    <t>nuambientales energia</t>
  </si>
  <si>
    <t>nuproyectos, obras</t>
  </si>
  <si>
    <t>nuctiviquema de</t>
  </si>
  <si>
    <t>nunetas 2021 -2020 Actividades</t>
  </si>
  <si>
    <t>nu la energía</t>
  </si>
  <si>
    <t>nu  netas 2021 -2020  Industrias</t>
  </si>
  <si>
    <t>nupetróleo 2021</t>
  </si>
  <si>
    <t>nupetróleo 2020</t>
  </si>
  <si>
    <t>nunetas 2021 -2020   Refinación</t>
  </si>
  <si>
    <t>nucombustibles sólidos</t>
  </si>
  <si>
    <t>nu netas 2021 -2020  Fabricación</t>
  </si>
  <si>
    <t>nuferrosos 2021</t>
  </si>
  <si>
    <t>nuferrosos 2020</t>
  </si>
  <si>
    <t>nunetas 2021 -2020  Metales</t>
  </si>
  <si>
    <t>nunetas 2021 -2020    Otro</t>
  </si>
  <si>
    <t>nuy manejo</t>
  </si>
  <si>
    <t>nuinería y manejo</t>
  </si>
  <si>
    <t>nu netas 2021 -2020  Minería</t>
  </si>
  <si>
    <t>nunetas 2021 -2020 Etileno</t>
  </si>
  <si>
    <t>nuferroaleaciones 2021</t>
  </si>
  <si>
    <t>nu ferroaleaciones 2020</t>
  </si>
  <si>
    <t>nu netas 2021 -2020  Producción</t>
  </si>
  <si>
    <t>nu permanecen como</t>
  </si>
  <si>
    <t>nu netas 2021 -2020  Humedales</t>
  </si>
  <si>
    <t>nunetas 2021</t>
  </si>
  <si>
    <t>nu 2020</t>
  </si>
  <si>
    <t>nuVariacion Emisiones netas</t>
  </si>
  <si>
    <t>nu Extracción de</t>
  </si>
  <si>
    <t>nu gas Downstream</t>
  </si>
  <si>
    <t>nu gas Midstream</t>
  </si>
  <si>
    <t>nu gas Upstream</t>
  </si>
  <si>
    <t>nu Nacional Embalses</t>
  </si>
  <si>
    <t>nu Nacional Combustión</t>
  </si>
  <si>
    <t>nu Interconectadas 2010</t>
  </si>
  <si>
    <t>nu. Extracción de</t>
  </si>
  <si>
    <t>nu. gas Downstream</t>
  </si>
  <si>
    <t>nu. gas Midstream</t>
  </si>
  <si>
    <t>nu. gas Upstream</t>
  </si>
  <si>
    <t>nu. Nacional Embalses</t>
  </si>
  <si>
    <t>nu. Nacional Combustión</t>
  </si>
  <si>
    <t>nu. Interconectadas 2011</t>
  </si>
  <si>
    <t>nu. Interconectadas 2012</t>
  </si>
  <si>
    <t>nu. Interconectadas 2013</t>
  </si>
  <si>
    <t>nu. Interconectadas 2014</t>
  </si>
  <si>
    <t>nu. Interconectadas 2015</t>
  </si>
  <si>
    <t>nu. Interconectadas 2016</t>
  </si>
  <si>
    <t>nu. Interconectadas 2017</t>
  </si>
  <si>
    <t>nu. Interconectadas 2018</t>
  </si>
  <si>
    <t>nu. Interconectadas 2019</t>
  </si>
  <si>
    <t>nu. Interconectadas 2020</t>
  </si>
  <si>
    <t>nu0. Extracción de</t>
  </si>
  <si>
    <t>nu1. Extracción de</t>
  </si>
  <si>
    <t>nu2. gas Downstream</t>
  </si>
  <si>
    <t>nu3. gas Midstream</t>
  </si>
  <si>
    <t>nu4. gas Upstream</t>
  </si>
  <si>
    <t>nu5. Nacional Embalses</t>
  </si>
  <si>
    <t>nu6. Nacional Combustión</t>
  </si>
  <si>
    <t>nu7. Interconectadas 2021</t>
  </si>
  <si>
    <t>nu9. Extracción de</t>
  </si>
  <si>
    <t>nu1. gas Downstream</t>
  </si>
  <si>
    <t>nu2. gas Midstream</t>
  </si>
  <si>
    <t>nu3. gas Upstream</t>
  </si>
  <si>
    <t>nu4. Nacional Embalses</t>
  </si>
  <si>
    <t>nu5. Nacional Combustión</t>
  </si>
  <si>
    <t>nu6. Interconectadas 2022</t>
  </si>
  <si>
    <t>nu8 2011</t>
  </si>
  <si>
    <t>nu9 2012</t>
  </si>
  <si>
    <t>nu0 2013</t>
  </si>
  <si>
    <t>nu1 2014</t>
  </si>
  <si>
    <t>nu2 2015</t>
  </si>
  <si>
    <t>nu3 2016</t>
  </si>
  <si>
    <t>nu4 2017</t>
  </si>
  <si>
    <t>nu5 2018</t>
  </si>
  <si>
    <t>nu6 2019</t>
  </si>
  <si>
    <t>nu7 2020</t>
  </si>
  <si>
    <t>nu8 2021</t>
  </si>
  <si>
    <t>nu9 2022</t>
  </si>
  <si>
    <t>nu miner</t>
  </si>
  <si>
    <t>nu hidro</t>
  </si>
  <si>
    <t>nu energ</t>
  </si>
  <si>
    <t>nu2021-2022</t>
  </si>
  <si>
    <t>nual mitigac</t>
  </si>
  <si>
    <t>numitigación  2023</t>
  </si>
  <si>
    <t>nuadaptación 2023</t>
  </si>
  <si>
    <t>nuambos 2023</t>
  </si>
  <si>
    <t>numitigación 2023</t>
  </si>
  <si>
    <t>nuambas  2023</t>
  </si>
  <si>
    <t>nuy acceso</t>
  </si>
  <si>
    <t>nu 20</t>
  </si>
  <si>
    <t>nuTotal adaptación 2023</t>
  </si>
  <si>
    <t>nu ambos  2023</t>
  </si>
  <si>
    <t>nu mitigación 2023</t>
  </si>
  <si>
    <t xml:space="preserve">nuTotal </t>
  </si>
  <si>
    <t>nu energetica 2023</t>
  </si>
  <si>
    <t>nu Domestico 2023</t>
  </si>
  <si>
    <t>nu mejora y</t>
  </si>
  <si>
    <t>nu 2</t>
  </si>
  <si>
    <t>numitigación</t>
  </si>
  <si>
    <t>nue investigación</t>
  </si>
  <si>
    <t>nuadaptación 2022</t>
  </si>
  <si>
    <t>nuambas 2022</t>
  </si>
  <si>
    <t>numitigación 2022</t>
  </si>
  <si>
    <t>nu y acceso</t>
  </si>
  <si>
    <t>nu hidrocarburos 2022</t>
  </si>
  <si>
    <t>nu ambas 2022</t>
  </si>
  <si>
    <t>nu adaptación 2022</t>
  </si>
  <si>
    <t>nu ambos 2022</t>
  </si>
  <si>
    <t>nu mitigación 2022</t>
  </si>
  <si>
    <t>nu financiero 2022</t>
  </si>
  <si>
    <t>nuPolitica, e investigacion</t>
  </si>
  <si>
    <t xml:space="preserve">nu Domestico </t>
  </si>
  <si>
    <t>nu. a energeti</t>
  </si>
  <si>
    <t>nu  y acceso</t>
  </si>
  <si>
    <t>nuhidrocarbu</t>
  </si>
  <si>
    <t>nuCPM otros aceites</t>
  </si>
  <si>
    <t>nutros otros aceites</t>
  </si>
  <si>
    <t>nuPM y y otros</t>
  </si>
  <si>
    <t>nuneral𝑉𝑜𝑙𝑢𝑚𝑒𝑛 𝑡𝑜𝑡𝑎𝑙</t>
  </si>
  <si>
    <t>nuotal de eventos</t>
  </si>
  <si>
    <t>nuavedasumatoria número</t>
  </si>
  <si>
    <t>numinero por</t>
  </si>
  <si>
    <t>numinero eléctrico</t>
  </si>
  <si>
    <t>numinero mecánico</t>
  </si>
  <si>
    <t>nu minero por</t>
  </si>
  <si>
    <t>nuavedaafectados sumatoria</t>
  </si>
  <si>
    <t>nuaccidente minero</t>
  </si>
  <si>
    <t>nu𝑢𝑚_xD835_𝑑𝑒 𝑖𝑛𝑐𝑖𝑑𝑒𝑛𝑡𝑒𝑠</t>
  </si>
  <si>
    <t>nusión energía sum</t>
  </si>
  <si>
    <t>nu_xDC41_𝑢𝑚𝑑𝑒 𝑖𝑛𝑐𝑖𝑑𝑒𝑛𝑡𝑒𝑠</t>
  </si>
  <si>
    <t>nubsectconsumo propio</t>
  </si>
  <si>
    <t>nubsector consumo propio</t>
  </si>
  <si>
    <t>nuubsector consumo propio</t>
  </si>
  <si>
    <t>nuubsecconsumo final</t>
  </si>
  <si>
    <t>nunergíconsumida total</t>
  </si>
  <si>
    <t>nuotal minero energético</t>
  </si>
  <si>
    <t>nuIB elmiles de</t>
  </si>
  <si>
    <t>nuIB himiles de</t>
  </si>
  <si>
    <t>nuIB mimiles de</t>
  </si>
  <si>
    <t>nutoconsumo · Primarios ·</t>
  </si>
  <si>
    <t>nutoconsumo · Secundarios ·</t>
  </si>
  <si>
    <t>nunsumo final · · Primarios</t>
  </si>
  <si>
    <t>nunsumo final · · Secundarios</t>
  </si>
  <si>
    <t>nurdidas · Primarios ·</t>
  </si>
  <si>
    <t>nuérdidas · Primarios ·</t>
  </si>
  <si>
    <t>nuérdidas · Secundarios ·</t>
  </si>
  <si>
    <t>nuotal Consumida (ECn</t>
  </si>
  <si>
    <t>nuoducto Bruto (PIBn</t>
  </si>
  <si>
    <t>nueración las Pequeñas</t>
  </si>
  <si>
    <t>nu Central Eólica (E) · Eólica (E</t>
  </si>
  <si>
    <t>nu Central Solar (S) · Solar (S</t>
  </si>
  <si>
    <t>nu Plantas de Biodiesel (B) · de Biodiesel</t>
  </si>
  <si>
    <t>nutal generada por</t>
  </si>
  <si>
    <t>nuotal generada por</t>
  </si>
  <si>
    <t>nuxtracción Primaria (EP) · EP) ·</t>
  </si>
  <si>
    <t>numportaciones (I) · · Primario</t>
  </si>
  <si>
    <t>nuxportaciones (Ex) · · Primario</t>
  </si>
  <si>
    <t>nuotal Energía Primaria</t>
  </si>
  <si>
    <t>nu GWh) 2022</t>
  </si>
  <si>
    <t>nuGWh) 2022</t>
  </si>
  <si>
    <t>nuCentrales Hidroelectricas</t>
  </si>
  <si>
    <t>nuM paresa lista</t>
  </si>
  <si>
    <t>nunicipde ME</t>
  </si>
  <si>
    <t>nuM esa lista</t>
  </si>
  <si>
    <t>nunicipproductores de</t>
  </si>
  <si>
    <t>nu𝑛𝑔_xD835_𝑝𝑜𝑟 𝑐𝑜𝑛𝑐𝑒𝑝𝑡𝑜</t>
  </si>
  <si>
    <t>nu𝑛𝑔_xD835_𝑟𝑒𝑔𝑎𝑙𝑖𝑎𝑠 𝑝𝑟𝑜𝑦𝑒𝑐𝑡𝑎𝑑𝑎𝑠</t>
  </si>
  <si>
    <t>nu𝑟𝑒_xD835_𝑎𝑙 𝑠𝑒𝑐𝑡𝑜𝑟</t>
  </si>
  <si>
    <t>nu_xDC60_𝑖𝑔𝑛𝑎𝑐𝑖ó𝑛 𝑟𝑒𝑔𝑎𝑙𝑖𝑎𝑠 𝑎𝑙</t>
  </si>
  <si>
    <t>nu_xDC5F_𝑜𝑦𝑒𝑐𝑡𝑜𝑠 𝑜𝑠 𝑑𝑖_xD835_</t>
  </si>
  <si>
    <t xml:space="preserve">nu_xDC3C_𝐵 _xDC56_𝑜𝑛𝑎𝑙 </t>
  </si>
  <si>
    <t>nu_xDC65_𝑝𝑜𝑟𝑡𝑎𝑐𝑖𝑜𝑛𝑒𝑠 𝑠𝑒𝑐𝑡𝑜𝑟 𝑝𝑎𝑟𝑎</t>
  </si>
  <si>
    <t>nu𝑃𝑀𝑚𝑢𝑛𝑖𝑐𝑖𝑝𝑖𝑜𝑠 _xDC56_𝑐𝑖𝑝𝑖_xD835_</t>
  </si>
  <si>
    <t>nu𝑚𝑒𝑟𝑜 𝑚𝑢𝑛𝑖𝑐𝑖𝑝𝑖𝑜𝑠 𝑝𝑟𝑜𝑑𝑢𝑐𝑡𝑜𝑟𝑒𝑠</t>
  </si>
  <si>
    <t>nu𝑚𝑒𝑟𝑜 𝑚𝑢𝑛𝑖𝑐𝑖𝑝𝑖𝑜𝑠 𝑛𝑜</t>
  </si>
  <si>
    <t>nu_xDC51_𝑒 𝑒𝑓𝑖𝑐𝑖_xD835_</t>
  </si>
  <si>
    <t>nu_xDC51_𝑒 _xD835_𝑏𝑒𝑛𝑒𝑓𝑖𝑐𝑖𝑎𝑑𝑜𝑠 𝑐𝑜𝑛</t>
  </si>
  <si>
    <t>nu_xDC5C_𝑏𝑙𝑎𝑐𝑖ó𝑛 𝑑𝑒 𝑙𝑜𝑠</t>
  </si>
  <si>
    <t>nu_xDC5C_𝑡𝑎𝑙 𝑚𝑢𝑛𝑖𝑐𝑖𝑝𝑖𝑜𝑠 𝑝𝑟𝑜𝑑𝑢𝑐𝑡𝑜𝑟𝑒𝑠</t>
  </si>
  <si>
    <t>nu𝑜𝑛_xD835_ℎ𝑖𝑑𝑟𝑜𝑐𝑎𝑟𝑏𝑢𝑟𝑜𝑠 𝑒𝑛</t>
  </si>
  <si>
    <t>nu_xDC5C_𝑡𝑎𝑙 𝑚𝑢𝑛𝑖𝑐𝑖𝑝𝑖𝑜𝑠 𝑝𝑟𝑜𝑑𝑢𝑐𝑡𝑜𝑟𝑒𝑠𝐶𝑜𝑛𝑠𝑢𝑚𝑜</t>
  </si>
  <si>
    <t>nu_xDC61_𝑜𝑐𝑘 𝑝𝑒𝑡𝑟ó𝑙𝑒𝑜 (𝑇𝐽</t>
  </si>
  <si>
    <t>nu_xDC61_𝑜𝑐𝑘 𝑔𝑎𝑠 (𝑇𝐽</t>
  </si>
  <si>
    <t>nu𝑒𝑠𝑎𝑠 𝑖𝑛𝑖</t>
  </si>
  <si>
    <t>nu_xDC56_𝑒𝑟𝑟𝑒 _xDC5D_𝑒𝑡𝑟ó𝑙</t>
  </si>
  <si>
    <t>nu𝑒𝑠𝑎𝑠 𝑓𝑖𝑛</t>
  </si>
  <si>
    <t>nu_xDC65_𝑡𝑟𝑎𝑐𝑐𝑖ó𝑛 𝑖ó𝑛 𝑝𝑒</t>
  </si>
  <si>
    <t>nu_xDC65_𝑡𝑟𝑎𝑐𝑐𝑖ó𝑛 𝑖ó𝑛 𝑔𝑎</t>
  </si>
  <si>
    <t>nu_xDC61_𝑜𝑐𝑘 𝑐𝑖𝑒𝑟𝑟𝑒 𝑝𝑒𝑡𝑟ó𝑙𝑒𝑜</t>
  </si>
  <si>
    <t>nu_xDC61_𝑜𝑐𝑘 𝑐𝑖𝑒𝑟𝑟𝑒 𝑔𝑎𝑠</t>
  </si>
  <si>
    <t>nu_xDC61_𝑜𝑐𝑘 𝑐𝑖𝑒𝑟</t>
  </si>
  <si>
    <t>nu_xDC5B_𝑐𝑟𝑒𝑚𝑒𝑛𝑡𝑜𝑠 𝑠𝑡𝑜𝑐𝑘 𝑝𝑒𝑡𝑟ó𝑙𝑒𝑜</t>
  </si>
  <si>
    <t>nu_xDC5B_𝑐𝑟𝑒𝑚𝑒𝑛𝑡𝑜𝑠 𝑠𝑡𝑜𝑐𝑘 𝑔𝑎𝑠</t>
  </si>
  <si>
    <t>nu_xDC5B_𝑐𝑟𝑒𝑚𝑒𝑛𝑡𝑜𝑠 𝑛𝑡𝑜𝑠 _xD835_</t>
  </si>
  <si>
    <t>numero títulos activos</t>
  </si>
  <si>
    <t>nuea en hectáreas hectáreas de</t>
  </si>
  <si>
    <t>nuea hectáreas de</t>
  </si>
  <si>
    <t>numero de títulos</t>
  </si>
  <si>
    <t>nuea toen hectáreas</t>
  </si>
  <si>
    <t>numero títulos mineros</t>
  </si>
  <si>
    <t>nurea en hectáreas de títulos en etapa hectáreas de</t>
  </si>
  <si>
    <t>nurea en hectáreas de títulos hectáreas de</t>
  </si>
  <si>
    <t>nurea total en en hectáreas</t>
  </si>
  <si>
    <t>nuúmerotítulos mineros</t>
  </si>
  <si>
    <t>nurea en hectáreas de títulos en hectáreas de</t>
  </si>
  <si>
    <t>nurea en hectáreas de hectáreas de</t>
  </si>
  <si>
    <t>nurea total en hectáreas</t>
  </si>
  <si>
    <t>nurea en hectáreas de títulos en etapa de construcción y montaje superpuestos en zonas hectáreas de</t>
  </si>
  <si>
    <t>nurea en hectáreas de títulos en etapa de explotación superpuestos en zonas hectáreas de</t>
  </si>
  <si>
    <t>nurea total en hectáreas de títulos mineros superpuestos en zonas en hectáreas</t>
  </si>
  <si>
    <t>nurea en hectáreas de títulos en etapa de construcción y montaje hectáreas de</t>
  </si>
  <si>
    <t>nurea en hectáreas de títulos en etapa de explotación hectáreas de</t>
  </si>
  <si>
    <t>nurea total en hectáreas de títulos mineros en hectáreas</t>
  </si>
  <si>
    <t>nurea en hectáreas de títulos en etapa de hectáreas de</t>
  </si>
  <si>
    <t>nurea total en hectáreas en hectáreas</t>
  </si>
  <si>
    <t>nurea en hectáreas de títulos en etapa de construcción hectáreas de</t>
  </si>
  <si>
    <t>nurea total en hectáreas de en hectáreas</t>
  </si>
  <si>
    <t>nuuma areas Superposición títulos mineros activos Superposición títulos</t>
  </si>
  <si>
    <t>nuuma areas Superposición títulos Superposición títulos</t>
  </si>
  <si>
    <t>nuumatoria total  suma suma areas</t>
  </si>
  <si>
    <t>nutervalos puntaje para</t>
  </si>
  <si>
    <t>numero de Áreas Áreas de</t>
  </si>
  <si>
    <t>nuea total en hectáreas de Áreas en hectáreas</t>
  </si>
  <si>
    <t>numero de Áreas de</t>
  </si>
  <si>
    <t>nuea total en hectáreas de en hectáreas</t>
  </si>
  <si>
    <t>nuperpohectáreas de</t>
  </si>
  <si>
    <t>nuperposición hectáreas de</t>
  </si>
  <si>
    <t>nuperposición en hectáreas hectáreas de</t>
  </si>
  <si>
    <t>nuuperposición hectáreas de</t>
  </si>
  <si>
    <t>nuuperposición en hectáreas de títulos mineros con hectáreas de</t>
  </si>
  <si>
    <t>nuuperposición total en hectáreas</t>
  </si>
  <si>
    <t>nuuperposición en hectáreas hectáreas de</t>
  </si>
  <si>
    <t>nuuperposición en hectáreas de</t>
  </si>
  <si>
    <t>nusultados Interpretación del</t>
  </si>
  <si>
    <t>numero de procesos en el país bajo la procesos en</t>
  </si>
  <si>
    <t>numero de mineros formalizados bajo la mineros formalizados</t>
  </si>
  <si>
    <t>numero de procesos en el país bajo la Regularización procesos en</t>
  </si>
  <si>
    <t>numero de mineros formalizados bajo la Regularización mineros formalizados</t>
  </si>
  <si>
    <t>numero de procesos en el procesos en</t>
  </si>
  <si>
    <t>numero de mineros mineros formalizados</t>
  </si>
  <si>
    <t>numero de procesos en</t>
  </si>
  <si>
    <t>numero mineros formalizados</t>
  </si>
  <si>
    <t>numero de procesos en el país procesos en</t>
  </si>
  <si>
    <t>nuúmero de mineros formalizados mineros formalizados</t>
  </si>
  <si>
    <t>nuotal de procesos</t>
  </si>
  <si>
    <t>nuotal de mineros</t>
  </si>
  <si>
    <t>nuotal de contratos de formalización bajo Solicitudes de Legalización contratos de</t>
  </si>
  <si>
    <t>nuúmerobeneficiarios directos</t>
  </si>
  <si>
    <t>nuúmerobeneficiarios indirectos</t>
  </si>
  <si>
    <t>nuotal de contratos de formalización contratos de</t>
  </si>
  <si>
    <t>nuotal de contratos de</t>
  </si>
  <si>
    <t>nuotal de contratos de formalización bajo Contratos de Concesión contratos de</t>
  </si>
  <si>
    <t>nuúmero de beneficiarios directos</t>
  </si>
  <si>
    <t>nuúmero de beneficiarios indirectos</t>
  </si>
  <si>
    <t>nuotal de contratos</t>
  </si>
  <si>
    <t>nuotal de beneficiarios</t>
  </si>
  <si>
    <t>nuea en hectáreas de explotación de hectáreas de</t>
  </si>
  <si>
    <t>nuea en hectáreas de</t>
  </si>
  <si>
    <t>nunsumode energía</t>
  </si>
  <si>
    <t>nu el número</t>
  </si>
  <si>
    <t>nuS: Esel número</t>
  </si>
  <si>
    <t>nueneradoras Pub IS Empresas Generadoras, del universo de IS Empresas</t>
  </si>
  <si>
    <t>nuneradoras Empresas Generadoras</t>
  </si>
  <si>
    <t>Booleano (Boolean bool)</t>
  </si>
  <si>
    <t xml:space="preserve">puntaje </t>
  </si>
  <si>
    <t>numero documentos</t>
  </si>
  <si>
    <t>numero estudios de impacto normativo</t>
  </si>
  <si>
    <t>Observatorio OAAS</t>
  </si>
  <si>
    <t xml:space="preserve">https://www.minenergia.gov.co/es/servicio-al-ciudadano/foros/ </t>
  </si>
  <si>
    <t>https://www.minenergia.gov.co/es/servicio-al-ciudadano/foros/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</si>
</sst>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"/>
    <numFmt numFmtId="165" formatCode="0.0%"/>
    <numFmt numFmtId="166" formatCode="0.000"/>
    <numFmt numFmtId="167" formatCode="0.00000"/>
    <numFmt numFmtId="168" formatCode="#,##0.00000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i/>
      <sz val="8"/>
      <name val="Arial"/>
      <family val="2"/>
    </font>
    <font>
      <b/>
      <i/>
      <sz val="10"/>
      <name val="Arial"/>
      <family val="2"/>
    </font>
    <font>
      <sz val="11"/>
      <color theme="1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Arial Narrow"/>
      <family val="2"/>
    </font>
    <font>
      <sz val="11"/>
      <name val="Calibri"/>
      <family val="2"/>
      <scheme val="minor"/>
    </font>
    <font>
      <b/>
      <sz val="11"/>
      <name val="Arial Narrow"/>
      <family val="2"/>
    </font>
    <font>
      <b/>
      <sz val="11"/>
      <name val="Calibri"/>
      <family val="2"/>
      <scheme val="minor"/>
    </font>
    <font>
      <u/>
      <sz val="11"/>
      <color rgb="FFFF0000"/>
      <name val="Arial Narrow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9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0" fontId="8" fillId="0" borderId="0" applyNumberForma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2">
    <xf numFmtId="0" fontId="0" fillId="0" borderId="0" xfId="0"/>
    <xf numFmtId="0" fontId="1" fillId="0" borderId="0" xfId="2" applyAlignment="1">
      <alignment horizontal="center"/>
    </xf>
    <xf numFmtId="0" fontId="4" fillId="2" borderId="1" xfId="2" applyFont="1" applyFill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3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1" fillId="0" borderId="0" xfId="2" applyAlignment="1">
      <alignment horizontal="center" vertical="center"/>
    </xf>
    <xf numFmtId="0" fontId="1" fillId="0" borderId="0" xfId="2"/>
    <xf numFmtId="0" fontId="1" fillId="0" borderId="0" xfId="2" applyAlignment="1">
      <alignment wrapText="1"/>
    </xf>
    <xf numFmtId="0" fontId="7" fillId="0" borderId="0" xfId="2" applyFont="1" applyAlignment="1">
      <alignment horizontal="center" vertical="center"/>
    </xf>
    <xf numFmtId="1" fontId="7" fillId="0" borderId="0" xfId="2" applyNumberFormat="1" applyFont="1" applyAlignment="1">
      <alignment horizontal="center" vertical="center"/>
    </xf>
    <xf numFmtId="0" fontId="1" fillId="0" borderId="0" xfId="2" applyAlignment="1">
      <alignment vertical="center"/>
    </xf>
    <xf numFmtId="164" fontId="1" fillId="0" borderId="0" xfId="2" applyNumberFormat="1" applyAlignment="1">
      <alignment vertical="center"/>
    </xf>
    <xf numFmtId="2" fontId="1" fillId="0" borderId="0" xfId="2" applyNumberFormat="1" applyAlignment="1">
      <alignment vertical="center"/>
    </xf>
    <xf numFmtId="0" fontId="1" fillId="0" borderId="0" xfId="2" applyAlignment="1">
      <alignment horizontal="center" vertical="center" wrapText="1"/>
    </xf>
    <xf numFmtId="0" fontId="0" fillId="0" borderId="0" xfId="0" applyAlignment="1">
      <alignment wrapText="1"/>
    </xf>
    <xf numFmtId="0" fontId="1" fillId="0" borderId="0" xfId="2" applyAlignment="1">
      <alignment horizontal="right" vertical="center"/>
    </xf>
    <xf numFmtId="2" fontId="1" fillId="0" borderId="0" xfId="2" applyNumberFormat="1" applyAlignment="1">
      <alignment horizontal="right" vertical="center"/>
    </xf>
    <xf numFmtId="1" fontId="7" fillId="0" borderId="0" xfId="2" applyNumberFormat="1" applyFont="1" applyAlignment="1">
      <alignment horizontal="right" vertical="center"/>
    </xf>
    <xf numFmtId="0" fontId="1" fillId="0" borderId="0" xfId="2" applyAlignment="1">
      <alignment horizontal="right" vertical="center" wrapText="1"/>
    </xf>
    <xf numFmtId="0" fontId="8" fillId="0" borderId="0" xfId="3"/>
    <xf numFmtId="0" fontId="0" fillId="2" borderId="0" xfId="0" applyFill="1" applyAlignment="1">
      <alignment horizontal="center" vertical="center"/>
    </xf>
    <xf numFmtId="0" fontId="0" fillId="0" borderId="6" xfId="0" applyBorder="1" applyAlignment="1">
      <alignment horizontal="center" vertical="top"/>
    </xf>
    <xf numFmtId="0" fontId="0" fillId="0" borderId="7" xfId="0" applyBorder="1" applyAlignment="1">
      <alignment horizontal="center" vertical="top" wrapText="1"/>
    </xf>
    <xf numFmtId="0" fontId="0" fillId="0" borderId="7" xfId="0" applyBorder="1" applyAlignment="1">
      <alignment horizontal="center" vertical="top"/>
    </xf>
    <xf numFmtId="1" fontId="0" fillId="0" borderId="7" xfId="0" applyNumberFormat="1" applyBorder="1" applyAlignment="1">
      <alignment horizontal="center" vertical="top"/>
    </xf>
    <xf numFmtId="164" fontId="0" fillId="0" borderId="7" xfId="0" applyNumberFormat="1" applyBorder="1" applyAlignment="1">
      <alignment horizontal="center" vertical="top"/>
    </xf>
    <xf numFmtId="164" fontId="9" fillId="0" borderId="7" xfId="0" applyNumberFormat="1" applyFont="1" applyBorder="1" applyAlignment="1">
      <alignment horizontal="center" vertical="top"/>
    </xf>
    <xf numFmtId="0" fontId="10" fillId="2" borderId="0" xfId="0" applyFont="1" applyFill="1" applyAlignment="1">
      <alignment horizontal="center" vertical="center"/>
    </xf>
    <xf numFmtId="0" fontId="10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7" xfId="1" applyNumberFormat="1" applyFont="1" applyFill="1" applyBorder="1" applyAlignment="1">
      <alignment horizontal="center" vertical="top"/>
    </xf>
    <xf numFmtId="0" fontId="11" fillId="3" borderId="4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/>
    </xf>
    <xf numFmtId="0" fontId="11" fillId="3" borderId="5" xfId="0" applyFont="1" applyFill="1" applyBorder="1" applyAlignment="1">
      <alignment horizontal="center" vertical="center" wrapText="1"/>
    </xf>
    <xf numFmtId="0" fontId="10" fillId="2" borderId="0" xfId="0" applyFont="1" applyFill="1"/>
    <xf numFmtId="0" fontId="12" fillId="2" borderId="0" xfId="0" applyFont="1" applyFill="1" applyAlignment="1">
      <alignment wrapText="1"/>
    </xf>
    <xf numFmtId="0" fontId="13" fillId="0" borderId="0" xfId="3" applyFont="1"/>
    <xf numFmtId="1" fontId="0" fillId="0" borderId="8" xfId="1" applyNumberFormat="1" applyFont="1" applyFill="1" applyBorder="1" applyAlignment="1">
      <alignment horizontal="center" vertical="top"/>
    </xf>
    <xf numFmtId="0" fontId="5" fillId="2" borderId="0" xfId="2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4" borderId="0" xfId="0" applyFill="1"/>
    <xf numFmtId="0" fontId="0" fillId="4" borderId="6" xfId="0" applyFill="1" applyBorder="1" applyAlignment="1">
      <alignment horizontal="center" vertical="top"/>
    </xf>
    <xf numFmtId="0" fontId="0" fillId="4" borderId="7" xfId="0" applyFill="1" applyBorder="1" applyAlignment="1">
      <alignment horizontal="center" vertical="top" wrapText="1"/>
    </xf>
    <xf numFmtId="0" fontId="0" fillId="4" borderId="7" xfId="0" applyFill="1" applyBorder="1" applyAlignment="1">
      <alignment horizontal="center" vertical="top"/>
    </xf>
    <xf numFmtId="164" fontId="0" fillId="4" borderId="7" xfId="0" applyNumberFormat="1" applyFill="1" applyBorder="1" applyAlignment="1">
      <alignment horizontal="center" vertical="top"/>
    </xf>
    <xf numFmtId="1" fontId="0" fillId="4" borderId="8" xfId="1" applyNumberFormat="1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4" fontId="0" fillId="0" borderId="0" xfId="1" applyNumberFormat="1" applyFont="1"/>
    <xf numFmtId="0" fontId="15" fillId="0" borderId="1" xfId="0" applyFont="1" applyBorder="1" applyAlignment="1">
      <alignment horizontal="center" vertical="center"/>
    </xf>
    <xf numFmtId="9" fontId="15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center" vertical="center"/>
    </xf>
    <xf numFmtId="0" fontId="15" fillId="2" borderId="0" xfId="0" applyFont="1" applyFill="1"/>
    <xf numFmtId="0" fontId="0" fillId="0" borderId="1" xfId="0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0" fontId="0" fillId="5" borderId="0" xfId="0" applyFill="1"/>
    <xf numFmtId="0" fontId="0" fillId="5" borderId="0" xfId="0" applyFill="1" applyAlignment="1">
      <alignment wrapText="1"/>
    </xf>
    <xf numFmtId="0" fontId="0" fillId="6" borderId="0" xfId="0" applyFill="1"/>
    <xf numFmtId="2" fontId="0" fillId="6" borderId="0" xfId="0" applyNumberFormat="1" applyFill="1"/>
    <xf numFmtId="2" fontId="1" fillId="0" borderId="0" xfId="2" applyNumberFormat="1" applyAlignment="1">
      <alignment horizontal="center"/>
    </xf>
    <xf numFmtId="1" fontId="1" fillId="0" borderId="0" xfId="2" applyNumberFormat="1" applyAlignment="1">
      <alignment horizontal="center"/>
    </xf>
    <xf numFmtId="0" fontId="1" fillId="6" borderId="0" xfId="2" applyFill="1"/>
    <xf numFmtId="0" fontId="7" fillId="6" borderId="0" xfId="2" applyFont="1" applyFill="1" applyAlignment="1">
      <alignment horizontal="center" vertical="center"/>
    </xf>
    <xf numFmtId="2" fontId="1" fillId="6" borderId="0" xfId="2" applyNumberFormat="1" applyFill="1" applyAlignment="1">
      <alignment horizontal="center"/>
    </xf>
    <xf numFmtId="0" fontId="0" fillId="6" borderId="0" xfId="2" applyFont="1" applyFill="1" applyAlignment="1">
      <alignment horizontal="left" vertical="top"/>
    </xf>
    <xf numFmtId="164" fontId="1" fillId="5" borderId="0" xfId="2" applyNumberFormat="1" applyFill="1" applyAlignment="1">
      <alignment horizontal="right" vertical="center"/>
    </xf>
    <xf numFmtId="0" fontId="1" fillId="5" borderId="0" xfId="2" applyFill="1" applyAlignment="1">
      <alignment vertical="center"/>
    </xf>
    <xf numFmtId="0" fontId="1" fillId="5" borderId="0" xfId="2" applyFill="1" applyAlignment="1">
      <alignment horizontal="center" wrapText="1"/>
    </xf>
    <xf numFmtId="0" fontId="1" fillId="5" borderId="0" xfId="2" applyFill="1" applyAlignment="1">
      <alignment horizontal="right" vertical="center"/>
    </xf>
    <xf numFmtId="2" fontId="1" fillId="5" borderId="0" xfId="2" applyNumberFormat="1" applyFill="1" applyAlignment="1">
      <alignment horizontal="right" vertical="center"/>
    </xf>
    <xf numFmtId="0" fontId="1" fillId="5" borderId="0" xfId="2" applyFill="1" applyAlignment="1">
      <alignment horizontal="center" vertical="center"/>
    </xf>
    <xf numFmtId="0" fontId="0" fillId="0" borderId="9" xfId="0" applyBorder="1"/>
    <xf numFmtId="0" fontId="1" fillId="0" borderId="0" xfId="2" applyAlignment="1">
      <alignment horizontal="center" wrapText="1"/>
    </xf>
    <xf numFmtId="0" fontId="1" fillId="5" borderId="0" xfId="2" applyFill="1"/>
    <xf numFmtId="2" fontId="0" fillId="0" borderId="0" xfId="0" applyNumberFormat="1"/>
    <xf numFmtId="164" fontId="2" fillId="0" borderId="7" xfId="0" applyNumberFormat="1" applyFont="1" applyBorder="1" applyAlignment="1">
      <alignment horizontal="center" vertical="top"/>
    </xf>
    <xf numFmtId="2" fontId="15" fillId="6" borderId="0" xfId="2" applyNumberFormat="1" applyFont="1" applyFill="1" applyAlignment="1">
      <alignment horizontal="center"/>
    </xf>
    <xf numFmtId="2" fontId="10" fillId="0" borderId="7" xfId="0" applyNumberFormat="1" applyFont="1" applyBorder="1" applyAlignment="1">
      <alignment horizontal="center" vertical="top"/>
    </xf>
    <xf numFmtId="0" fontId="15" fillId="6" borderId="0" xfId="2" applyFont="1" applyFill="1"/>
    <xf numFmtId="0" fontId="10" fillId="0" borderId="0" xfId="2" applyFont="1" applyAlignment="1">
      <alignment horizontal="right" vertical="center"/>
    </xf>
    <xf numFmtId="2" fontId="10" fillId="0" borderId="0" xfId="2" applyNumberFormat="1" applyFont="1" applyAlignment="1">
      <alignment horizontal="right" vertical="center"/>
    </xf>
    <xf numFmtId="0" fontId="5" fillId="0" borderId="0" xfId="2" applyFont="1" applyAlignment="1">
      <alignment horizontal="center" vertical="center"/>
    </xf>
    <xf numFmtId="166" fontId="1" fillId="6" borderId="0" xfId="2" applyNumberFormat="1" applyFill="1" applyAlignment="1">
      <alignment horizontal="center"/>
    </xf>
    <xf numFmtId="44" fontId="0" fillId="0" borderId="0" xfId="5" applyFont="1"/>
    <xf numFmtId="8" fontId="0" fillId="0" borderId="0" xfId="5" applyNumberFormat="1" applyFont="1"/>
    <xf numFmtId="0" fontId="15" fillId="0" borderId="0" xfId="0" applyFont="1"/>
    <xf numFmtId="8" fontId="1" fillId="0" borderId="0" xfId="5" applyNumberFormat="1" applyFont="1"/>
    <xf numFmtId="8" fontId="15" fillId="0" borderId="0" xfId="5" applyNumberFormat="1" applyFont="1"/>
    <xf numFmtId="44" fontId="0" fillId="6" borderId="0" xfId="5" applyFont="1" applyFill="1"/>
    <xf numFmtId="0" fontId="15" fillId="6" borderId="0" xfId="0" applyFont="1" applyFill="1"/>
    <xf numFmtId="44" fontId="15" fillId="6" borderId="0" xfId="5" applyFont="1" applyFill="1"/>
    <xf numFmtId="44" fontId="1" fillId="0" borderId="0" xfId="5"/>
    <xf numFmtId="44" fontId="15" fillId="0" borderId="0" xfId="5" applyFont="1"/>
    <xf numFmtId="6" fontId="1" fillId="0" borderId="0" xfId="2" applyNumberFormat="1"/>
    <xf numFmtId="0" fontId="10" fillId="6" borderId="0" xfId="0" applyFont="1" applyFill="1"/>
    <xf numFmtId="44" fontId="10" fillId="6" borderId="0" xfId="5" applyFont="1" applyFill="1"/>
    <xf numFmtId="0" fontId="10" fillId="6" borderId="0" xfId="2" applyFont="1" applyFill="1"/>
    <xf numFmtId="0" fontId="0" fillId="0" borderId="0" xfId="0" applyAlignment="1">
      <alignment horizontal="left" indent="2"/>
    </xf>
    <xf numFmtId="0" fontId="0" fillId="0" borderId="0" xfId="5" applyNumberFormat="1" applyFont="1"/>
    <xf numFmtId="43" fontId="0" fillId="0" borderId="0" xfId="4" applyFont="1"/>
    <xf numFmtId="43" fontId="0" fillId="0" borderId="0" xfId="4" applyFont="1" applyFill="1"/>
    <xf numFmtId="0" fontId="15" fillId="6" borderId="10" xfId="0" applyFont="1" applyFill="1" applyBorder="1" applyAlignment="1">
      <alignment horizontal="left"/>
    </xf>
    <xf numFmtId="0" fontId="15" fillId="6" borderId="10" xfId="0" applyFont="1" applyFill="1" applyBorder="1"/>
    <xf numFmtId="0" fontId="15" fillId="6" borderId="0" xfId="0" applyFont="1" applyFill="1" applyAlignment="1">
      <alignment horizontal="left" indent="1"/>
    </xf>
    <xf numFmtId="43" fontId="15" fillId="6" borderId="0" xfId="4" applyFont="1" applyFill="1" applyAlignment="1">
      <alignment horizontal="left" indent="1"/>
    </xf>
    <xf numFmtId="43" fontId="0" fillId="6" borderId="0" xfId="4" applyFont="1" applyFill="1"/>
    <xf numFmtId="43" fontId="15" fillId="6" borderId="0" xfId="4" applyFont="1" applyFill="1"/>
    <xf numFmtId="0" fontId="0" fillId="5" borderId="6" xfId="0" applyFill="1" applyBorder="1" applyAlignment="1">
      <alignment horizontal="center" vertical="top"/>
    </xf>
    <xf numFmtId="0" fontId="0" fillId="5" borderId="7" xfId="0" applyFill="1" applyBorder="1" applyAlignment="1">
      <alignment horizontal="center" vertical="top" wrapText="1"/>
    </xf>
    <xf numFmtId="0" fontId="0" fillId="5" borderId="7" xfId="0" applyFill="1" applyBorder="1" applyAlignment="1">
      <alignment horizontal="center" vertical="top"/>
    </xf>
    <xf numFmtId="164" fontId="0" fillId="5" borderId="7" xfId="0" applyNumberFormat="1" applyFill="1" applyBorder="1" applyAlignment="1">
      <alignment horizontal="center" vertical="top"/>
    </xf>
    <xf numFmtId="1" fontId="0" fillId="5" borderId="7" xfId="0" applyNumberFormat="1" applyFill="1" applyBorder="1" applyAlignment="1">
      <alignment horizontal="center" vertical="top"/>
    </xf>
    <xf numFmtId="1" fontId="0" fillId="5" borderId="8" xfId="1" applyNumberFormat="1" applyFont="1" applyFill="1" applyBorder="1" applyAlignment="1">
      <alignment horizontal="center" vertical="top"/>
    </xf>
    <xf numFmtId="0" fontId="10" fillId="2" borderId="0" xfId="0" applyFont="1" applyFill="1" applyAlignment="1">
      <alignment horizontal="center" vertical="center" wrapText="1"/>
    </xf>
    <xf numFmtId="0" fontId="0" fillId="7" borderId="0" xfId="0" applyFill="1"/>
    <xf numFmtId="164" fontId="1" fillId="7" borderId="0" xfId="2" applyNumberFormat="1" applyFill="1" applyAlignment="1">
      <alignment vertical="center"/>
    </xf>
    <xf numFmtId="0" fontId="1" fillId="7" borderId="0" xfId="2" applyFill="1"/>
    <xf numFmtId="0" fontId="1" fillId="7" borderId="0" xfId="2" applyFill="1" applyAlignment="1">
      <alignment horizontal="center" vertical="center"/>
    </xf>
    <xf numFmtId="0" fontId="1" fillId="7" borderId="0" xfId="2" applyFill="1" applyAlignment="1">
      <alignment vertical="center"/>
    </xf>
    <xf numFmtId="0" fontId="0" fillId="0" borderId="0" xfId="0" applyAlignment="1">
      <alignment vertical="center" wrapText="1"/>
    </xf>
    <xf numFmtId="0" fontId="0" fillId="6" borderId="0" xfId="0" applyFill="1" applyAlignment="1">
      <alignment vertical="center" wrapText="1"/>
    </xf>
    <xf numFmtId="166" fontId="1" fillId="6" borderId="0" xfId="2" applyNumberFormat="1" applyFill="1"/>
    <xf numFmtId="0" fontId="0" fillId="4" borderId="0" xfId="0" applyFill="1" applyAlignment="1">
      <alignment vertical="center" wrapText="1"/>
    </xf>
    <xf numFmtId="167" fontId="10" fillId="0" borderId="7" xfId="0" applyNumberFormat="1" applyFont="1" applyBorder="1" applyAlignment="1">
      <alignment horizontal="center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167" fontId="10" fillId="5" borderId="7" xfId="0" applyNumberFormat="1" applyFont="1" applyFill="1" applyBorder="1" applyAlignment="1">
      <alignment horizontal="center" vertical="top"/>
    </xf>
    <xf numFmtId="0" fontId="0" fillId="2" borderId="6" xfId="0" applyFill="1" applyBorder="1" applyAlignment="1">
      <alignment horizontal="center" vertical="top"/>
    </xf>
    <xf numFmtId="0" fontId="0" fillId="2" borderId="7" xfId="0" applyFill="1" applyBorder="1" applyAlignment="1">
      <alignment horizontal="center" vertical="top" wrapText="1"/>
    </xf>
    <xf numFmtId="0" fontId="0" fillId="2" borderId="7" xfId="0" applyFill="1" applyBorder="1" applyAlignment="1">
      <alignment horizontal="center" vertical="top"/>
    </xf>
    <xf numFmtId="2" fontId="10" fillId="2" borderId="7" xfId="0" applyNumberFormat="1" applyFont="1" applyFill="1" applyBorder="1" applyAlignment="1">
      <alignment horizontal="center" vertical="top"/>
    </xf>
    <xf numFmtId="164" fontId="0" fillId="2" borderId="7" xfId="0" applyNumberFormat="1" applyFill="1" applyBorder="1" applyAlignment="1">
      <alignment horizontal="center" vertical="top"/>
    </xf>
    <xf numFmtId="1" fontId="0" fillId="2" borderId="7" xfId="0" applyNumberFormat="1" applyFill="1" applyBorder="1" applyAlignment="1">
      <alignment horizontal="center" vertical="top"/>
    </xf>
    <xf numFmtId="1" fontId="0" fillId="2" borderId="8" xfId="1" applyNumberFormat="1" applyFont="1" applyFill="1" applyBorder="1" applyAlignment="1">
      <alignment horizontal="center" vertical="top"/>
    </xf>
    <xf numFmtId="164" fontId="0" fillId="5" borderId="0" xfId="0" applyNumberFormat="1" applyFill="1"/>
    <xf numFmtId="0" fontId="0" fillId="6" borderId="0" xfId="0" applyFill="1" applyAlignment="1">
      <alignment horizontal="left" vertical="top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left" vertical="center"/>
    </xf>
    <xf numFmtId="0" fontId="0" fillId="6" borderId="0" xfId="0" applyFill="1" applyAlignment="1">
      <alignment horizontal="left"/>
    </xf>
    <xf numFmtId="0" fontId="15" fillId="0" borderId="0" xfId="0" applyFont="1" applyAlignment="1">
      <alignment vertical="center" wrapText="1"/>
    </xf>
    <xf numFmtId="0" fontId="15" fillId="6" borderId="0" xfId="0" applyFont="1" applyFill="1" applyAlignment="1">
      <alignment vertical="center" wrapText="1"/>
    </xf>
    <xf numFmtId="0" fontId="15" fillId="6" borderId="0" xfId="0" applyFont="1" applyFill="1" applyAlignment="1">
      <alignment vertical="center"/>
    </xf>
    <xf numFmtId="0" fontId="0" fillId="6" borderId="0" xfId="0" applyFill="1" applyAlignment="1">
      <alignment vertical="center"/>
    </xf>
    <xf numFmtId="168" fontId="0" fillId="0" borderId="0" xfId="0" applyNumberFormat="1"/>
    <xf numFmtId="1" fontId="0" fillId="4" borderId="0" xfId="0" applyNumberFormat="1" applyFill="1"/>
    <xf numFmtId="164" fontId="16" fillId="5" borderId="7" xfId="0" applyNumberFormat="1" applyFont="1" applyFill="1" applyBorder="1" applyAlignment="1">
      <alignment horizontal="center" vertical="top"/>
    </xf>
    <xf numFmtId="0" fontId="8" fillId="0" borderId="0" xfId="3" applyAlignment="1">
      <alignment horizontal="justify" vertical="center"/>
    </xf>
    <xf numFmtId="2" fontId="1" fillId="0" borderId="0" xfId="2" applyNumberFormat="1"/>
    <xf numFmtId="0" fontId="2" fillId="0" borderId="0" xfId="0" applyFont="1"/>
    <xf numFmtId="0" fontId="3" fillId="2" borderId="3" xfId="2" applyFont="1" applyFill="1" applyBorder="1" applyAlignment="1">
      <alignment horizontal="center" vertical="center" wrapText="1"/>
    </xf>
    <xf numFmtId="0" fontId="3" fillId="2" borderId="2" xfId="2" applyFont="1" applyFill="1" applyBorder="1" applyAlignment="1">
      <alignment horizontal="center" vertical="center" wrapText="1"/>
    </xf>
    <xf numFmtId="0" fontId="3" fillId="2" borderId="1" xfId="2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1" fillId="0" borderId="0" xfId="2" applyAlignment="1">
      <alignment horizontal="center"/>
    </xf>
    <xf numFmtId="0" fontId="15" fillId="2" borderId="1" xfId="0" applyFont="1" applyFill="1" applyBorder="1" applyAlignment="1">
      <alignment horizontal="center" vertical="center"/>
    </xf>
  </cellXfs>
  <cellStyles count="6">
    <cellStyle name="Hipervínculo" xfId="3" builtinId="8"/>
    <cellStyle name="Millares" xfId="4" builtinId="3"/>
    <cellStyle name="Moneda" xfId="5" builtinId="4"/>
    <cellStyle name="Normal" xfId="0" builtinId="0"/>
    <cellStyle name="Normal 2" xfId="2" xr:uid="{F2C737AB-3CE9-4B71-9CC8-6F1F94E7385F}"/>
    <cellStyle name="Porcentaje" xfId="1" builtinId="5"/>
  </cellStyles>
  <dxfs count="37">
    <dxf>
      <numFmt numFmtId="2" formatCode="0.0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" formatCode="0"/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0.0%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 style="thin">
          <color theme="0"/>
        </bottom>
        <vertical/>
        <horizontal/>
      </border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64" formatCode="0.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numFmt numFmtId="1" formatCode="0"/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alignment horizontal="center" vertical="top" textRotation="0" wrapText="0" indent="0" justifyLastLine="0" shrinkToFit="0" readingOrder="0"/>
      <border diagonalUp="0" diagonalDown="0">
        <left/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minenergiacol-my.sharepoint.com/personal/ancasallas_minenergia_gov_co/Documents/ANEXO%20II_V2.xlsx" TargetMode="External"/><Relationship Id="rId1" Type="http://schemas.openxmlformats.org/officeDocument/2006/relationships/externalLinkPath" Target="https://minenergiacol-my.sharepoint.com/personal/ancasallas_minenergia_gov_co/Documents/ANEXO%20II_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s"/>
      <sheetName val="Responsables "/>
      <sheetName val="variables indicadores"/>
      <sheetName val="Calificación de dimensiones"/>
      <sheetName val="Criterios"/>
      <sheetName val="Calificación de indicadores"/>
      <sheetName val="Ponderación"/>
      <sheetName val="Resultados"/>
      <sheetName val="TD"/>
    </sheetNames>
    <sheetDataSet>
      <sheetData sheetId="0">
        <row r="2">
          <cell r="A2" t="str">
            <v>Normativa</v>
          </cell>
          <cell r="M2" t="str">
            <v>Energía</v>
          </cell>
        </row>
        <row r="3">
          <cell r="A3" t="str">
            <v>Institucional</v>
          </cell>
          <cell r="M3" t="str">
            <v>Mineria</v>
          </cell>
        </row>
        <row r="4">
          <cell r="A4" t="str">
            <v>Minero</v>
          </cell>
          <cell r="M4" t="str">
            <v>Hidrocarburos</v>
          </cell>
        </row>
        <row r="5">
          <cell r="A5" t="str">
            <v>Hidrocarburos</v>
          </cell>
          <cell r="M5" t="str">
            <v xml:space="preserve">Multisubsectorial </v>
          </cell>
        </row>
        <row r="6">
          <cell r="A6" t="str">
            <v>Energía</v>
          </cell>
        </row>
        <row r="7">
          <cell r="A7" t="str">
            <v xml:space="preserve">Biofisicos </v>
          </cell>
        </row>
        <row r="8">
          <cell r="A8" t="str">
            <v xml:space="preserve">Gestión_y_Evaluación_Ambiental </v>
          </cell>
        </row>
        <row r="9">
          <cell r="A9" t="str">
            <v>Cambio_Climático_y_Gestión_del_Riesgo</v>
          </cell>
        </row>
        <row r="10">
          <cell r="A10" t="str">
            <v>Transición_Energética</v>
          </cell>
        </row>
        <row r="11">
          <cell r="A11" t="str">
            <v xml:space="preserve">Sociales </v>
          </cell>
        </row>
        <row r="12">
          <cell r="A12" t="str">
            <v xml:space="preserve">Económicos 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IEN" refreshedDate="45796.902445254629" createdVersion="8" refreshedVersion="8" minRefreshableVersion="3" recordCount="52" xr:uid="{7F88A305-8B69-467F-8720-590F65D28907}">
  <cacheSource type="worksheet">
    <worksheetSource ref="A1:I1048576" sheet="Resultado"/>
  </cacheSource>
  <cacheFields count="9">
    <cacheField name="N°" numFmtId="0">
      <sharedItems containsString="0" containsBlank="1" containsNumber="1" containsInteger="1" minValue="1" maxValue="51"/>
    </cacheField>
    <cacheField name="Dimensión" numFmtId="0">
      <sharedItems containsBlank="1" count="12">
        <s v="Análisis jurídico-normativo"/>
        <s v="Análisis institucional"/>
        <s v="Social"/>
        <s v="Biofísica y ecológica"/>
        <s v="Gestión y evaluación ambiental"/>
        <s v="Cambio climático y gestión del riesgo "/>
        <s v="Transición energética justa"/>
        <s v="Económica"/>
        <s v="Subsector de hidrocarburos "/>
        <s v="Subsector de minería "/>
        <s v="Subsector de energía eléctrica"/>
        <m/>
      </sharedItems>
    </cacheField>
    <cacheField name="Objetivos" numFmtId="0">
      <sharedItems containsBlank="1" count="5">
        <s v="Robustez"/>
        <s v="Equidad"/>
        <s v="Efectividad"/>
        <s v="Receptividad"/>
        <m/>
      </sharedItems>
    </cacheField>
    <cacheField name="Atributo" numFmtId="0">
      <sharedItems containsBlank="1" count="19">
        <s v="Legitimidad"/>
        <s v="Reconocimiento, Participación, Transparencia"/>
        <s v="Coordinación, dirección, capacidad y eficiencia"/>
        <s v="Reconocimiento y justicia"/>
        <s v="Participación"/>
        <s v="Reconocimiento"/>
        <s v="Justicia"/>
        <s v="Transparencia"/>
        <s v="Eficiencia"/>
        <s v="Anticipación"/>
        <s v="Responsabilidad"/>
        <s v="Flexibilidad y Adaptación"/>
        <s v="Información"/>
        <s v="Información "/>
        <s v="Legitimidad - Cumplimiento legal"/>
        <s v="Capacidad - Capacidad institucional"/>
        <s v="Capacidad - Capacidad institucional para actuar"/>
        <s v="Participación – Acceso a la Información"/>
        <m/>
      </sharedItems>
    </cacheField>
    <cacheField name="Índice / Indicador" numFmtId="0">
      <sharedItems containsBlank="1" count="52">
        <s v="Reconocimiento y protección de los derechos ambientales en la política sectorial de derechos humanos"/>
        <s v="Contexto favorable para el ejercicio de los derechos ambientales"/>
        <s v="Análisis de impacto regulatorio con dimensión ambiental"/>
        <s v="Evaluación ex post de regulaciones"/>
        <s v="Procesos de consulta pública en la producción normativa"/>
        <s v="Puntaje del sector de minas y energía en el índice de Desempeño Institucional"/>
        <s v="Coordinación intersectorial"/>
        <s v="Acceso a justicia"/>
        <s v="Participación ciudadana"/>
        <s v="Interacción de género y enfoque diferencial"/>
        <s v="Conflictividad socioambiental"/>
        <s v="Cumplimiento a PQRSD"/>
        <s v="Variación de la demanda hídrica"/>
        <s v="Variación de la huella hídrica azul"/>
        <s v="Variación del área compensada por cada subsector minero energético"/>
        <s v="Área de superposición de cada subsector minero energético con determinantes ambientales"/>
        <s v="Área de superposición de cada subsector minero energético con áreas prioritarias de conservación"/>
        <s v="Variación en la generación de residuos peligrosos (RESPEL) por unidad producida"/>
        <s v="Licenciamiento Ambiental"/>
        <s v="Procesos sancionatorios ambientales"/>
        <s v="Variación de emisiones de GEI del sector"/>
        <s v="Tasa de variación de financiamiento climático"/>
        <s v="Índice de vulnerabilidad climática"/>
        <s v="Índice de Derrames de Hidrocarburos (IDH)"/>
        <s v="Índice de Gravedad de Accidentes Mineros (IGAM)"/>
        <s v="índice de Severidad de Accidentes Eléctricos (ISAE)"/>
        <s v="Variación de la intensidad energética por subsector"/>
        <s v="Variación de la intensidad energética nacional"/>
        <s v="Participación de las FNCER en la matriz energética primaria"/>
        <s v="Participación de las FNCER en la matriz energética eléctrica."/>
        <s v="Producción de minerales estratégicos y críticos para la TEJ."/>
        <s v="Pobreza multidimensional en municipios productores de minerales estratégicos"/>
        <s v="Recaudo efectivo de regalías"/>
        <s v="Regalías destinadas al sector ambiente y desarrollo sostenible"/>
        <s v="Variación de proyectos del SGR dirigidos al sector ambiente y desarrollo sostenible"/>
        <s v="Participación del sector minero energético en el PIB nacional"/>
        <s v="Participación del sector minero energético en las exportaciones del país"/>
        <s v="Pobreza multidimensional en municipios productores de hidrocarburos."/>
        <s v="Índice de cobertura y equidad territorial en municipios productores"/>
        <s v="Participación de los hidrocarburos en la matriz energética (IPHME)"/>
        <s v="Variación del stock de hidrocarburos"/>
        <s v="Disponibilidad de reservas de hidrocarburos (R/P)"/>
        <s v="Tasa de extracción de hidrocarburos (TEH)"/>
        <s v="Superposición de títulos mineros activos con áreas ambientales excluibles, restrictivas e informativas para la minería"/>
        <s v="Superposición de áreas de reserva especial declaradas y solicitadas con áreas ambientales excluibles, restrictivas e informativas para la minería"/>
        <s v="Procesos de formalización y registro minero"/>
        <s v="Áreas recuperadas por gestión y control a la explotación ilegal de minerales"/>
        <s v="Variación del Consumo de Energía Eléctrica en el país."/>
        <s v="Variación en el nivel de pobreza energética multidimensional nacional."/>
        <s v="Variación en la cobertura en el acceso al servicio de energía eléctrica en el país."/>
        <s v="Porcentaje de Informes de Sostenibilidad anuales publicados por empresas generadoras del país."/>
        <m/>
      </sharedItems>
    </cacheField>
    <cacheField name="Resultado del indicador _x000a_(en sus unidades)" numFmtId="0">
      <sharedItems containsBlank="1" containsMixedTypes="1" containsNumber="1" minValue="-96.19" maxValue="82.4"/>
    </cacheField>
    <cacheField name="Puntaje para la gobernanza" numFmtId="0">
      <sharedItems containsString="0" containsBlank="1" containsNumber="1" minValue="1" maxValue="24"/>
    </cacheField>
    <cacheField name="Puntaje máximo del indicador" numFmtId="0">
      <sharedItems containsString="0" containsBlank="1" containsNumber="1" containsInteger="1" minValue="11" maxValue="24"/>
    </cacheField>
    <cacheField name="Porcentaje alcanzado" numFmtId="0">
      <sharedItems containsString="0" containsBlank="1" containsNumber="1" minValue="0" maxValue="100"/>
    </cacheField>
  </cacheFields>
  <extLst>
    <ext xmlns:x14="http://schemas.microsoft.com/office/spreadsheetml/2009/9/main" uri="{725AE2AE-9491-48be-B2B4-4EB974FC3084}">
      <x14:pivotCacheDefinition pivotCacheId="2086633192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GIEN" refreshedDate="45796.904427893518" createdVersion="8" refreshedVersion="8" minRefreshableVersion="3" recordCount="51" xr:uid="{DD9CFFC8-6C80-4BDA-AEB1-27477307E1BB}">
  <cacheSource type="worksheet">
    <worksheetSource name="Tabla2"/>
  </cacheSource>
  <cacheFields count="9">
    <cacheField name="N°" numFmtId="0">
      <sharedItems containsSemiMixedTypes="0" containsString="0" containsNumber="1" containsInteger="1" minValue="1" maxValue="51" count="51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</sharedItems>
    </cacheField>
    <cacheField name="Dimensión" numFmtId="0">
      <sharedItems count="11">
        <s v="Análisis jurídico-normativo"/>
        <s v="Análisis institucional"/>
        <s v="Social"/>
        <s v="Biofísica y ecológica"/>
        <s v="Gestión y evaluación ambiental"/>
        <s v="Cambio climático y gestión del riesgo "/>
        <s v="Transición energética justa"/>
        <s v="Económica"/>
        <s v="Subsector de hidrocarburos "/>
        <s v="Subsector de minería "/>
        <s v="Subsector de energía eléctrica"/>
      </sharedItems>
    </cacheField>
    <cacheField name="Objetivos" numFmtId="0">
      <sharedItems count="4">
        <s v="Robustez"/>
        <s v="Equidad"/>
        <s v="Efectividad"/>
        <s v="Receptividad"/>
      </sharedItems>
    </cacheField>
    <cacheField name="Atributo" numFmtId="0">
      <sharedItems count="18">
        <s v="Legitimidad"/>
        <s v="Reconocimiento, Participación, Transparencia"/>
        <s v="Coordinación, dirección, capacidad y eficiencia"/>
        <s v="Reconocimiento y justicia"/>
        <s v="Participación"/>
        <s v="Reconocimiento"/>
        <s v="Justicia"/>
        <s v="Transparencia"/>
        <s v="Eficiencia"/>
        <s v="Anticipación"/>
        <s v="Responsabilidad"/>
        <s v="Flexibilidad y Adaptación"/>
        <s v="Información"/>
        <s v="Información "/>
        <s v="Legitimidad - Cumplimiento legal"/>
        <s v="Capacidad - Capacidad institucional"/>
        <s v="Capacidad - Capacidad institucional para actuar"/>
        <s v="Participación – Acceso a la Información"/>
      </sharedItems>
    </cacheField>
    <cacheField name="Índice / Indicador" numFmtId="0">
      <sharedItems count="51">
        <s v="Reconocimiento y protección de los derechos ambientales en la política sectorial de derechos humanos"/>
        <s v="Contexto favorable para el ejercicio de los derechos ambientales"/>
        <s v="Análisis de impacto regulatorio con dimensión ambiental"/>
        <s v="Evaluación ex post de regulaciones"/>
        <s v="Procesos de consulta pública en la producción normativa"/>
        <s v="Puntaje del sector de minas y energía en el índice de Desempeño Institucional"/>
        <s v="Coordinación intersectorial"/>
        <s v="Acceso a justicia"/>
        <s v="Participación ciudadana"/>
        <s v="Interacción de género y enfoque diferencial"/>
        <s v="Conflictividad socioambiental"/>
        <s v="Cumplimiento a PQRSD"/>
        <s v="Variación de la demanda hídrica"/>
        <s v="Variación de la huella hídrica azul"/>
        <s v="Variación del área compensada por cada subsector minero energético"/>
        <s v="Área de superposición de cada subsector minero energético con determinantes ambientales"/>
        <s v="Área de superposición de cada subsector minero energético con áreas prioritarias de conservación"/>
        <s v="Variación en la generación de residuos peligrosos (RESPEL) por unidad producida"/>
        <s v="Licenciamiento Ambiental"/>
        <s v="Procesos sancionatorios ambientales"/>
        <s v="Variación de emisiones de GEI del sector"/>
        <s v="Tasa de variación de financiamiento climático"/>
        <s v="Índice de vulnerabilidad climática"/>
        <s v="Índice de Derrames de Hidrocarburos (IDH)"/>
        <s v="Índice de Gravedad de Accidentes Mineros (IGAM)"/>
        <s v="índice de Severidad de Accidentes Eléctricos (ISAE)"/>
        <s v="Variación de la intensidad energética por subsector"/>
        <s v="Variación de la intensidad energética nacional"/>
        <s v="Participación de las FNCER en la matriz energética primaria"/>
        <s v="Participación de las FNCER en la matriz energética eléctrica."/>
        <s v="Producción de minerales estratégicos y críticos para la TEJ."/>
        <s v="Pobreza multidimensional en municipios productores de minerales estratégicos"/>
        <s v="Recaudo efectivo de regalías"/>
        <s v="Regalías destinadas al sector ambiente y desarrollo sostenible"/>
        <s v="Variación de proyectos del SGR dirigidos al sector ambiente y desarrollo sostenible"/>
        <s v="Participación del sector minero energético en el PIB nacional"/>
        <s v="Participación del sector minero energético en las exportaciones del país"/>
        <s v="Pobreza multidimensional en municipios productores de hidrocarburos."/>
        <s v="Índice de cobertura y equidad territorial en municipios productores"/>
        <s v="Participación de los hidrocarburos en la matriz energética (IPHME)"/>
        <s v="Variación del stock de hidrocarburos"/>
        <s v="Disponibilidad de reservas de hidrocarburos (R/P)"/>
        <s v="Tasa de extracción de hidrocarburos (TEH)"/>
        <s v="Superposición de títulos mineros activos con áreas ambientales excluibles, restrictivas e informativas para la minería"/>
        <s v="Superposición de áreas de reserva especial declaradas y solicitadas con áreas ambientales excluibles, restrictivas e informativas para la minería"/>
        <s v="Procesos de formalización y registro minero"/>
        <s v="Áreas recuperadas por gestión y control a la explotación ilegal de minerales"/>
        <s v="Variación del Consumo de Energía Eléctrica en el país."/>
        <s v="Variación en el nivel de pobreza energética multidimensional nacional."/>
        <s v="Variación en la cobertura en el acceso al servicio de energía eléctrica en el país."/>
        <s v="Porcentaje de Informes de Sostenibilidad anuales publicados por empresas generadoras del país."/>
      </sharedItems>
    </cacheField>
    <cacheField name="Resultado del indicador _x000a_(en sus unidades)" numFmtId="0">
      <sharedItems containsBlank="1" containsMixedTypes="1" containsNumber="1" minValue="-96.19" maxValue="82.4"/>
    </cacheField>
    <cacheField name="Puntaje para la gobernanza" numFmtId="0">
      <sharedItems containsString="0" containsBlank="1" containsNumber="1" minValue="1" maxValue="24"/>
    </cacheField>
    <cacheField name="Puntaje máximo del indicador" numFmtId="1">
      <sharedItems containsSemiMixedTypes="0" containsString="0" containsNumber="1" containsInteger="1" minValue="11" maxValue="24"/>
    </cacheField>
    <cacheField name="Porcentaje alcanzado" numFmtId="1">
      <sharedItems containsSemiMixedTypes="0" containsString="0" containsNumber="1" minValue="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">
  <r>
    <n v="1"/>
    <x v="0"/>
    <x v="0"/>
    <x v="0"/>
    <x v="0"/>
    <n v="3.75"/>
    <n v="3.8"/>
    <n v="21"/>
    <n v="18.095238095238095"/>
  </r>
  <r>
    <n v="2"/>
    <x v="0"/>
    <x v="0"/>
    <x v="0"/>
    <x v="1"/>
    <n v="41.4"/>
    <n v="7"/>
    <n v="14"/>
    <n v="50"/>
  </r>
  <r>
    <n v="3"/>
    <x v="0"/>
    <x v="1"/>
    <x v="1"/>
    <x v="2"/>
    <n v="15.3"/>
    <n v="15.3"/>
    <n v="21"/>
    <n v="72.857142857142861"/>
  </r>
  <r>
    <n v="4"/>
    <x v="0"/>
    <x v="1"/>
    <x v="1"/>
    <x v="3"/>
    <n v="1"/>
    <n v="1"/>
    <n v="19"/>
    <n v="5.2631578947368416"/>
  </r>
  <r>
    <n v="5"/>
    <x v="0"/>
    <x v="1"/>
    <x v="1"/>
    <x v="4"/>
    <n v="15.3"/>
    <n v="15.3"/>
    <n v="21"/>
    <n v="72.857142857142861"/>
  </r>
  <r>
    <n v="6"/>
    <x v="1"/>
    <x v="2"/>
    <x v="2"/>
    <x v="5"/>
    <n v="82.4"/>
    <n v="21"/>
    <n v="21"/>
    <n v="100"/>
  </r>
  <r>
    <n v="7"/>
    <x v="1"/>
    <x v="2"/>
    <x v="2"/>
    <x v="6"/>
    <n v="4"/>
    <n v="4"/>
    <n v="19"/>
    <n v="21.052631578947366"/>
  </r>
  <r>
    <n v="8"/>
    <x v="1"/>
    <x v="1"/>
    <x v="3"/>
    <x v="7"/>
    <n v="2"/>
    <n v="2"/>
    <n v="19"/>
    <n v="10.526315789473683"/>
  </r>
  <r>
    <n v="9"/>
    <x v="2"/>
    <x v="1"/>
    <x v="4"/>
    <x v="8"/>
    <s v="84.6%"/>
    <n v="24"/>
    <n v="24"/>
    <n v="100"/>
  </r>
  <r>
    <n v="10"/>
    <x v="2"/>
    <x v="1"/>
    <x v="5"/>
    <x v="9"/>
    <n v="0.26350000000000001"/>
    <n v="19"/>
    <n v="19"/>
    <n v="100"/>
  </r>
  <r>
    <n v="11"/>
    <x v="2"/>
    <x v="1"/>
    <x v="6"/>
    <x v="10"/>
    <s v="35.25%"/>
    <n v="18"/>
    <n v="24"/>
    <n v="75"/>
  </r>
  <r>
    <n v="12"/>
    <x v="2"/>
    <x v="1"/>
    <x v="7"/>
    <x v="11"/>
    <s v="94.24%"/>
    <n v="16"/>
    <n v="22"/>
    <n v="72.727272727272734"/>
  </r>
  <r>
    <n v="13"/>
    <x v="3"/>
    <x v="2"/>
    <x v="8"/>
    <x v="12"/>
    <s v="1507,5 millones de m3/año"/>
    <n v="17"/>
    <n v="17"/>
    <n v="100"/>
  </r>
  <r>
    <n v="14"/>
    <x v="3"/>
    <x v="2"/>
    <x v="8"/>
    <x v="13"/>
    <s v="39,6  millones de m3/año"/>
    <n v="17"/>
    <n v="17"/>
    <n v="100"/>
  </r>
  <r>
    <n v="15"/>
    <x v="3"/>
    <x v="2"/>
    <x v="8"/>
    <x v="14"/>
    <s v="122,79 hectáreas"/>
    <n v="9.5"/>
    <n v="19"/>
    <n v="50"/>
  </r>
  <r>
    <n v="16"/>
    <x v="3"/>
    <x v="2"/>
    <x v="8"/>
    <x v="15"/>
    <s v="Subsector minero: 42,54%_x000a_Subsector hidrocarburos:9,43%_x000a_Subsector energía eléctrica:21,43%"/>
    <n v="9.5"/>
    <n v="19"/>
    <n v="50"/>
  </r>
  <r>
    <n v="17"/>
    <x v="3"/>
    <x v="2"/>
    <x v="8"/>
    <x v="16"/>
    <s v="Subsector minero: 23,31%_x000a_Subsector hidrocarburos:24,13%_x000a_Subsector energía eléctrica:76,47%"/>
    <n v="8.3000000000000007"/>
    <n v="19"/>
    <n v="43.684210526315795"/>
  </r>
  <r>
    <n v="18"/>
    <x v="4"/>
    <x v="2"/>
    <x v="8"/>
    <x v="17"/>
    <s v="Hidrocarburos: 15.88%_x000a_Minería: 37.62%_x000a_Energía eléctrica: 115.52%"/>
    <n v="4"/>
    <n v="21"/>
    <n v="19.047619047619047"/>
  </r>
  <r>
    <n v="19"/>
    <x v="4"/>
    <x v="3"/>
    <x v="9"/>
    <x v="18"/>
    <n v="0.64"/>
    <n v="12"/>
    <n v="19"/>
    <n v="63.157894736842103"/>
  </r>
  <r>
    <n v="20"/>
    <x v="4"/>
    <x v="2"/>
    <x v="10"/>
    <x v="19"/>
    <n v="0"/>
    <n v="17"/>
    <n v="17"/>
    <n v="100"/>
  </r>
  <r>
    <n v="21"/>
    <x v="5"/>
    <x v="3"/>
    <x v="11"/>
    <x v="20"/>
    <n v="39.17"/>
    <n v="7"/>
    <n v="22"/>
    <n v="31.818181818181817"/>
  </r>
  <r>
    <n v="22"/>
    <x v="5"/>
    <x v="3"/>
    <x v="11"/>
    <x v="21"/>
    <n v="-96.19"/>
    <n v="6"/>
    <n v="21"/>
    <n v="28.571428571428569"/>
  </r>
  <r>
    <n v="23"/>
    <x v="5"/>
    <x v="3"/>
    <x v="9"/>
    <x v="22"/>
    <m/>
    <m/>
    <n v="19"/>
    <n v="0"/>
  </r>
  <r>
    <n v="24"/>
    <x v="5"/>
    <x v="3"/>
    <x v="9"/>
    <x v="23"/>
    <n v="3.93"/>
    <n v="12"/>
    <n v="24"/>
    <n v="50"/>
  </r>
  <r>
    <n v="25"/>
    <x v="5"/>
    <x v="3"/>
    <x v="9"/>
    <x v="24"/>
    <n v="4.2"/>
    <n v="6"/>
    <n v="24"/>
    <n v="25"/>
  </r>
  <r>
    <n v="26"/>
    <x v="5"/>
    <x v="3"/>
    <x v="9"/>
    <x v="25"/>
    <n v="1.24"/>
    <n v="18"/>
    <n v="24"/>
    <n v="75"/>
  </r>
  <r>
    <n v="27"/>
    <x v="6"/>
    <x v="3"/>
    <x v="11"/>
    <x v="26"/>
    <s v="-0.129%"/>
    <n v="2"/>
    <n v="14"/>
    <n v="14.285714285714285"/>
  </r>
  <r>
    <n v="28"/>
    <x v="6"/>
    <x v="3"/>
    <x v="11"/>
    <x v="27"/>
    <s v="0.553%"/>
    <n v="6"/>
    <n v="14"/>
    <n v="42.857142857142854"/>
  </r>
  <r>
    <n v="29"/>
    <x v="6"/>
    <x v="3"/>
    <x v="11"/>
    <x v="28"/>
    <s v="9.59%"/>
    <n v="17"/>
    <n v="17"/>
    <n v="100"/>
  </r>
  <r>
    <n v="30"/>
    <x v="6"/>
    <x v="3"/>
    <x v="11"/>
    <x v="29"/>
    <n v="0.36"/>
    <n v="17"/>
    <n v="17"/>
    <n v="100"/>
  </r>
  <r>
    <n v="31"/>
    <x v="6"/>
    <x v="3"/>
    <x v="11"/>
    <x v="30"/>
    <s v="22265,51 ton"/>
    <n v="17"/>
    <n v="17"/>
    <n v="100"/>
  </r>
  <r>
    <n v="32"/>
    <x v="6"/>
    <x v="1"/>
    <x v="6"/>
    <x v="31"/>
    <s v="-0.84%"/>
    <n v="5"/>
    <n v="17"/>
    <n v="29.411764705882355"/>
  </r>
  <r>
    <n v="33"/>
    <x v="7"/>
    <x v="2"/>
    <x v="8"/>
    <x v="32"/>
    <n v="1.17"/>
    <n v="21"/>
    <n v="21"/>
    <n v="100"/>
  </r>
  <r>
    <n v="34"/>
    <x v="7"/>
    <x v="2"/>
    <x v="8"/>
    <x v="33"/>
    <n v="0.98"/>
    <n v="19"/>
    <n v="19"/>
    <n v="100"/>
  </r>
  <r>
    <n v="35"/>
    <x v="7"/>
    <x v="2"/>
    <x v="8"/>
    <x v="34"/>
    <n v="1.86"/>
    <n v="14"/>
    <n v="14"/>
    <n v="100"/>
  </r>
  <r>
    <n v="36"/>
    <x v="7"/>
    <x v="2"/>
    <x v="8"/>
    <x v="35"/>
    <n v="6.2600000000000003E-2"/>
    <n v="17"/>
    <n v="17"/>
    <n v="100"/>
  </r>
  <r>
    <n v="37"/>
    <x v="7"/>
    <x v="2"/>
    <x v="8"/>
    <x v="36"/>
    <n v="0.5252"/>
    <n v="3.5"/>
    <n v="11"/>
    <n v="31.818181818181817"/>
  </r>
  <r>
    <n v="38"/>
    <x v="8"/>
    <x v="1"/>
    <x v="6"/>
    <x v="37"/>
    <n v="6.3899999999999998E-2"/>
    <n v="10"/>
    <n v="14"/>
    <n v="71.428571428571431"/>
  </r>
  <r>
    <n v="39"/>
    <x v="8"/>
    <x v="1"/>
    <x v="6"/>
    <x v="38"/>
    <n v="6.0400000000000002E-2"/>
    <n v="12"/>
    <n v="24"/>
    <n v="50"/>
  </r>
  <r>
    <n v="40"/>
    <x v="8"/>
    <x v="3"/>
    <x v="9"/>
    <x v="39"/>
    <n v="0.62890000000000001"/>
    <n v="7"/>
    <n v="21"/>
    <n v="33.333333333333329"/>
  </r>
  <r>
    <n v="41"/>
    <x v="8"/>
    <x v="2"/>
    <x v="12"/>
    <x v="40"/>
    <s v="–2,61%"/>
    <n v="7"/>
    <n v="21"/>
    <n v="33.333333333333329"/>
  </r>
  <r>
    <n v="42"/>
    <x v="8"/>
    <x v="2"/>
    <x v="13"/>
    <x v="41"/>
    <s v="6,82 años"/>
    <n v="6"/>
    <n v="21"/>
    <n v="28.571428571428569"/>
  </r>
  <r>
    <n v="43"/>
    <x v="8"/>
    <x v="2"/>
    <x v="12"/>
    <x v="42"/>
    <n v="0.1273"/>
    <n v="6"/>
    <n v="21"/>
    <n v="28.571428571428569"/>
  </r>
  <r>
    <n v="44"/>
    <x v="9"/>
    <x v="0"/>
    <x v="14"/>
    <x v="43"/>
    <n v="0.4138"/>
    <n v="12"/>
    <n v="24"/>
    <n v="50"/>
  </r>
  <r>
    <n v="45"/>
    <x v="9"/>
    <x v="0"/>
    <x v="14"/>
    <x v="44"/>
    <n v="0.53469999999999995"/>
    <n v="14"/>
    <n v="24"/>
    <n v="58.333333333333336"/>
  </r>
  <r>
    <n v="46"/>
    <x v="9"/>
    <x v="0"/>
    <x v="15"/>
    <x v="45"/>
    <n v="0.40039999999999998"/>
    <n v="6"/>
    <n v="21"/>
    <n v="28.571428571428569"/>
  </r>
  <r>
    <n v="47"/>
    <x v="9"/>
    <x v="1"/>
    <x v="16"/>
    <x v="46"/>
    <n v="6.8000000000000005E-2"/>
    <n v="1"/>
    <n v="14"/>
    <n v="7.1428571428571423"/>
  </r>
  <r>
    <n v="48"/>
    <x v="10"/>
    <x v="2"/>
    <x v="8"/>
    <x v="47"/>
    <n v="0.13900000000000001"/>
    <n v="24"/>
    <n v="24"/>
    <n v="100"/>
  </r>
  <r>
    <n v="49"/>
    <x v="10"/>
    <x v="2"/>
    <x v="8"/>
    <x v="48"/>
    <n v="3.5999999999999997E-2"/>
    <n v="22"/>
    <n v="22"/>
    <n v="100"/>
  </r>
  <r>
    <n v="50"/>
    <x v="10"/>
    <x v="1"/>
    <x v="6"/>
    <x v="49"/>
    <n v="4.0000000000000001E-3"/>
    <n v="2"/>
    <n v="24"/>
    <n v="8.3333333333333321"/>
  </r>
  <r>
    <n v="51"/>
    <x v="10"/>
    <x v="1"/>
    <x v="17"/>
    <x v="50"/>
    <n v="0.54500000000000004"/>
    <n v="14"/>
    <n v="21"/>
    <n v="66.666666666666657"/>
  </r>
  <r>
    <m/>
    <x v="11"/>
    <x v="4"/>
    <x v="18"/>
    <x v="51"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1">
  <r>
    <x v="0"/>
    <x v="0"/>
    <x v="0"/>
    <x v="0"/>
    <x v="0"/>
    <n v="3.75"/>
    <n v="3.8"/>
    <n v="21"/>
    <n v="18.095238095238095"/>
  </r>
  <r>
    <x v="1"/>
    <x v="0"/>
    <x v="0"/>
    <x v="0"/>
    <x v="1"/>
    <n v="41.4"/>
    <n v="7"/>
    <n v="14"/>
    <n v="50"/>
  </r>
  <r>
    <x v="2"/>
    <x v="0"/>
    <x v="1"/>
    <x v="1"/>
    <x v="2"/>
    <n v="15.3"/>
    <n v="15.3"/>
    <n v="21"/>
    <n v="72.857142857142861"/>
  </r>
  <r>
    <x v="3"/>
    <x v="0"/>
    <x v="1"/>
    <x v="1"/>
    <x v="3"/>
    <n v="1"/>
    <n v="1"/>
    <n v="19"/>
    <n v="5.2631578947368416"/>
  </r>
  <r>
    <x v="4"/>
    <x v="0"/>
    <x v="1"/>
    <x v="1"/>
    <x v="4"/>
    <n v="15.3"/>
    <n v="15.3"/>
    <n v="21"/>
    <n v="72.857142857142861"/>
  </r>
  <r>
    <x v="5"/>
    <x v="1"/>
    <x v="2"/>
    <x v="2"/>
    <x v="5"/>
    <n v="82.4"/>
    <n v="21"/>
    <n v="21"/>
    <n v="100"/>
  </r>
  <r>
    <x v="6"/>
    <x v="1"/>
    <x v="2"/>
    <x v="2"/>
    <x v="6"/>
    <n v="4"/>
    <n v="4"/>
    <n v="19"/>
    <n v="21.052631578947366"/>
  </r>
  <r>
    <x v="7"/>
    <x v="1"/>
    <x v="1"/>
    <x v="3"/>
    <x v="7"/>
    <n v="2"/>
    <n v="2"/>
    <n v="19"/>
    <n v="10.526315789473683"/>
  </r>
  <r>
    <x v="8"/>
    <x v="2"/>
    <x v="1"/>
    <x v="4"/>
    <x v="8"/>
    <s v="84.6%"/>
    <n v="24"/>
    <n v="24"/>
    <n v="100"/>
  </r>
  <r>
    <x v="9"/>
    <x v="2"/>
    <x v="1"/>
    <x v="5"/>
    <x v="9"/>
    <n v="0.26350000000000001"/>
    <n v="19"/>
    <n v="19"/>
    <n v="100"/>
  </r>
  <r>
    <x v="10"/>
    <x v="2"/>
    <x v="1"/>
    <x v="6"/>
    <x v="10"/>
    <s v="35.25%"/>
    <n v="18"/>
    <n v="24"/>
    <n v="75"/>
  </r>
  <r>
    <x v="11"/>
    <x v="2"/>
    <x v="1"/>
    <x v="7"/>
    <x v="11"/>
    <s v="94.24%"/>
    <n v="16"/>
    <n v="22"/>
    <n v="72.727272727272734"/>
  </r>
  <r>
    <x v="12"/>
    <x v="3"/>
    <x v="2"/>
    <x v="8"/>
    <x v="12"/>
    <s v="1507,5 millones de m3/año"/>
    <n v="17"/>
    <n v="17"/>
    <n v="100"/>
  </r>
  <r>
    <x v="13"/>
    <x v="3"/>
    <x v="2"/>
    <x v="8"/>
    <x v="13"/>
    <s v="39,6  millones de m3/año"/>
    <n v="17"/>
    <n v="17"/>
    <n v="100"/>
  </r>
  <r>
    <x v="14"/>
    <x v="3"/>
    <x v="2"/>
    <x v="8"/>
    <x v="14"/>
    <s v="122,79 hectáreas"/>
    <n v="9.5"/>
    <n v="19"/>
    <n v="50"/>
  </r>
  <r>
    <x v="15"/>
    <x v="3"/>
    <x v="2"/>
    <x v="8"/>
    <x v="15"/>
    <s v="Subsector minero: 42,54%_x000a_Subsector hidrocarburos:9,43%_x000a_Subsector energía eléctrica:21,43%"/>
    <n v="9.5"/>
    <n v="19"/>
    <n v="50"/>
  </r>
  <r>
    <x v="16"/>
    <x v="3"/>
    <x v="2"/>
    <x v="8"/>
    <x v="16"/>
    <s v="Subsector minero: 23,31%_x000a_Subsector hidrocarburos:24,13%_x000a_Subsector energía eléctrica:76,47%"/>
    <n v="8.3000000000000007"/>
    <n v="19"/>
    <n v="43.684210526315795"/>
  </r>
  <r>
    <x v="17"/>
    <x v="4"/>
    <x v="2"/>
    <x v="8"/>
    <x v="17"/>
    <s v="Hidrocarburos: 15.88%_x000a_Minería: 37.62%_x000a_Energía eléctrica: 115.52%"/>
    <n v="4"/>
    <n v="21"/>
    <n v="19.047619047619047"/>
  </r>
  <r>
    <x v="18"/>
    <x v="4"/>
    <x v="3"/>
    <x v="9"/>
    <x v="18"/>
    <n v="0.64"/>
    <n v="12"/>
    <n v="19"/>
    <n v="63.157894736842103"/>
  </r>
  <r>
    <x v="19"/>
    <x v="4"/>
    <x v="2"/>
    <x v="10"/>
    <x v="19"/>
    <n v="0"/>
    <n v="17"/>
    <n v="17"/>
    <n v="100"/>
  </r>
  <r>
    <x v="20"/>
    <x v="5"/>
    <x v="3"/>
    <x v="11"/>
    <x v="20"/>
    <n v="39.17"/>
    <n v="7"/>
    <n v="22"/>
    <n v="31.818181818181817"/>
  </r>
  <r>
    <x v="21"/>
    <x v="5"/>
    <x v="3"/>
    <x v="11"/>
    <x v="21"/>
    <n v="-96.19"/>
    <n v="6"/>
    <n v="21"/>
    <n v="28.571428571428569"/>
  </r>
  <r>
    <x v="22"/>
    <x v="5"/>
    <x v="3"/>
    <x v="9"/>
    <x v="22"/>
    <m/>
    <m/>
    <n v="19"/>
    <n v="0"/>
  </r>
  <r>
    <x v="23"/>
    <x v="5"/>
    <x v="3"/>
    <x v="9"/>
    <x v="23"/>
    <n v="3.93"/>
    <n v="12"/>
    <n v="24"/>
    <n v="50"/>
  </r>
  <r>
    <x v="24"/>
    <x v="5"/>
    <x v="3"/>
    <x v="9"/>
    <x v="24"/>
    <n v="4.2"/>
    <n v="6"/>
    <n v="24"/>
    <n v="25"/>
  </r>
  <r>
    <x v="25"/>
    <x v="5"/>
    <x v="3"/>
    <x v="9"/>
    <x v="25"/>
    <n v="1.24"/>
    <n v="18"/>
    <n v="24"/>
    <n v="75"/>
  </r>
  <r>
    <x v="26"/>
    <x v="6"/>
    <x v="3"/>
    <x v="11"/>
    <x v="26"/>
    <s v="-0.129%"/>
    <n v="2"/>
    <n v="14"/>
    <n v="14.285714285714285"/>
  </r>
  <r>
    <x v="27"/>
    <x v="6"/>
    <x v="3"/>
    <x v="11"/>
    <x v="27"/>
    <s v="0.553%"/>
    <n v="6"/>
    <n v="14"/>
    <n v="42.857142857142854"/>
  </r>
  <r>
    <x v="28"/>
    <x v="6"/>
    <x v="3"/>
    <x v="11"/>
    <x v="28"/>
    <s v="9.59%"/>
    <n v="17"/>
    <n v="17"/>
    <n v="100"/>
  </r>
  <r>
    <x v="29"/>
    <x v="6"/>
    <x v="3"/>
    <x v="11"/>
    <x v="29"/>
    <n v="0.36"/>
    <n v="17"/>
    <n v="17"/>
    <n v="100"/>
  </r>
  <r>
    <x v="30"/>
    <x v="6"/>
    <x v="3"/>
    <x v="11"/>
    <x v="30"/>
    <s v="22265,51 ton"/>
    <n v="17"/>
    <n v="17"/>
    <n v="100"/>
  </r>
  <r>
    <x v="31"/>
    <x v="6"/>
    <x v="1"/>
    <x v="6"/>
    <x v="31"/>
    <s v="-0.84%"/>
    <n v="5"/>
    <n v="17"/>
    <n v="29.411764705882355"/>
  </r>
  <r>
    <x v="32"/>
    <x v="7"/>
    <x v="2"/>
    <x v="8"/>
    <x v="32"/>
    <n v="1.17"/>
    <n v="21"/>
    <n v="21"/>
    <n v="100"/>
  </r>
  <r>
    <x v="33"/>
    <x v="7"/>
    <x v="2"/>
    <x v="8"/>
    <x v="33"/>
    <n v="0.98"/>
    <n v="19"/>
    <n v="19"/>
    <n v="100"/>
  </r>
  <r>
    <x v="34"/>
    <x v="7"/>
    <x v="2"/>
    <x v="8"/>
    <x v="34"/>
    <n v="1.86"/>
    <n v="14"/>
    <n v="14"/>
    <n v="100"/>
  </r>
  <r>
    <x v="35"/>
    <x v="7"/>
    <x v="2"/>
    <x v="8"/>
    <x v="35"/>
    <n v="6.2600000000000003E-2"/>
    <n v="17"/>
    <n v="17"/>
    <n v="100"/>
  </r>
  <r>
    <x v="36"/>
    <x v="7"/>
    <x v="2"/>
    <x v="8"/>
    <x v="36"/>
    <n v="0.5252"/>
    <n v="3.5"/>
    <n v="11"/>
    <n v="31.818181818181817"/>
  </r>
  <r>
    <x v="37"/>
    <x v="8"/>
    <x v="1"/>
    <x v="6"/>
    <x v="37"/>
    <n v="6.3899999999999998E-2"/>
    <n v="10"/>
    <n v="14"/>
    <n v="71.428571428571431"/>
  </r>
  <r>
    <x v="38"/>
    <x v="8"/>
    <x v="1"/>
    <x v="6"/>
    <x v="38"/>
    <n v="6.0400000000000002E-2"/>
    <n v="12"/>
    <n v="24"/>
    <n v="50"/>
  </r>
  <r>
    <x v="39"/>
    <x v="8"/>
    <x v="3"/>
    <x v="9"/>
    <x v="39"/>
    <n v="0.62890000000000001"/>
    <n v="7"/>
    <n v="21"/>
    <n v="33.333333333333329"/>
  </r>
  <r>
    <x v="40"/>
    <x v="8"/>
    <x v="2"/>
    <x v="12"/>
    <x v="40"/>
    <s v="–2,61%"/>
    <n v="7"/>
    <n v="21"/>
    <n v="33.333333333333329"/>
  </r>
  <r>
    <x v="41"/>
    <x v="8"/>
    <x v="2"/>
    <x v="13"/>
    <x v="41"/>
    <s v="6,82 años"/>
    <n v="6"/>
    <n v="21"/>
    <n v="28.571428571428569"/>
  </r>
  <r>
    <x v="42"/>
    <x v="8"/>
    <x v="2"/>
    <x v="12"/>
    <x v="42"/>
    <n v="0.1273"/>
    <n v="6"/>
    <n v="21"/>
    <n v="28.571428571428569"/>
  </r>
  <r>
    <x v="43"/>
    <x v="9"/>
    <x v="0"/>
    <x v="14"/>
    <x v="43"/>
    <n v="0.4138"/>
    <n v="12"/>
    <n v="24"/>
    <n v="50"/>
  </r>
  <r>
    <x v="44"/>
    <x v="9"/>
    <x v="0"/>
    <x v="14"/>
    <x v="44"/>
    <n v="0.53469999999999995"/>
    <n v="14"/>
    <n v="24"/>
    <n v="58.333333333333336"/>
  </r>
  <r>
    <x v="45"/>
    <x v="9"/>
    <x v="0"/>
    <x v="15"/>
    <x v="45"/>
    <n v="0.40039999999999998"/>
    <n v="6"/>
    <n v="21"/>
    <n v="28.571428571428569"/>
  </r>
  <r>
    <x v="46"/>
    <x v="9"/>
    <x v="1"/>
    <x v="16"/>
    <x v="46"/>
    <n v="6.8000000000000005E-2"/>
    <n v="1"/>
    <n v="14"/>
    <n v="7.1428571428571423"/>
  </r>
  <r>
    <x v="47"/>
    <x v="10"/>
    <x v="2"/>
    <x v="8"/>
    <x v="47"/>
    <n v="0.13900000000000001"/>
    <n v="24"/>
    <n v="24"/>
    <n v="100"/>
  </r>
  <r>
    <x v="48"/>
    <x v="10"/>
    <x v="2"/>
    <x v="8"/>
    <x v="48"/>
    <n v="3.5999999999999997E-2"/>
    <n v="22"/>
    <n v="22"/>
    <n v="100"/>
  </r>
  <r>
    <x v="49"/>
    <x v="10"/>
    <x v="1"/>
    <x v="6"/>
    <x v="49"/>
    <n v="4.0000000000000001E-3"/>
    <n v="2"/>
    <n v="24"/>
    <n v="8.3333333333333321"/>
  </r>
  <r>
    <x v="50"/>
    <x v="10"/>
    <x v="1"/>
    <x v="17"/>
    <x v="50"/>
    <n v="0.54500000000000004"/>
    <n v="14"/>
    <n v="21"/>
    <n v="66.6666666666666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4A6054-B8D0-49F1-958F-4CC79973A187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A21:C26" firstHeaderRow="0" firstDataRow="1" firstDataCol="1"/>
  <pivotFields count="9">
    <pivotField showAll="0"/>
    <pivotField showAll="0"/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dataField="1" showAll="0"/>
    <pivotField dataField="1" numFmtId="1" showAll="0"/>
    <pivotField numFmtId="1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0DDEA5-2ED5-44C1-AE1A-4D6FF91D4B53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2">
  <location ref="A3:C15" firstHeaderRow="0" firstDataRow="1" firstDataCol="1"/>
  <pivotFields count="9">
    <pivotField showAll="0"/>
    <pivotField axis="axisRow" showAll="0">
      <items count="13">
        <item x="1"/>
        <item x="0"/>
        <item x="3"/>
        <item x="5"/>
        <item x="7"/>
        <item x="4"/>
        <item x="2"/>
        <item x="10"/>
        <item x="8"/>
        <item x="9"/>
        <item x="6"/>
        <item h="1" x="11"/>
        <item t="default"/>
      </items>
    </pivotField>
    <pivotField showAll="0">
      <items count="6">
        <item x="2"/>
        <item x="1"/>
        <item x="3"/>
        <item x="0"/>
        <item x="4"/>
        <item t="default"/>
      </items>
    </pivotField>
    <pivotField showAll="0">
      <items count="20">
        <item x="9"/>
        <item x="15"/>
        <item x="16"/>
        <item x="2"/>
        <item x="8"/>
        <item x="11"/>
        <item x="12"/>
        <item x="13"/>
        <item x="6"/>
        <item x="0"/>
        <item x="14"/>
        <item x="4"/>
        <item x="17"/>
        <item x="5"/>
        <item x="3"/>
        <item x="1"/>
        <item x="10"/>
        <item x="7"/>
        <item x="18"/>
        <item t="default"/>
      </items>
    </pivotField>
    <pivotField showAll="0"/>
    <pivotField showAll="0"/>
    <pivotField dataField="1" showAll="0"/>
    <pivotField dataField="1"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01C740-09EA-48FB-B0E3-9F0B578B7B3C}" name="TablaDinámica17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50:B113" firstHeaderRow="1" firstDataRow="1" firstDataCol="1"/>
  <pivotFields count="9">
    <pivotField showAll="0"/>
    <pivotField axis="axisRow" showAll="0">
      <items count="12">
        <item x="1"/>
        <item x="0"/>
        <item x="3"/>
        <item x="5"/>
        <item x="7"/>
        <item x="4"/>
        <item x="2"/>
        <item x="10"/>
        <item x="8"/>
        <item x="9"/>
        <item x="6"/>
        <item t="default"/>
      </items>
    </pivotField>
    <pivotField showAll="0"/>
    <pivotField showAll="0"/>
    <pivotField axis="axisRow" showAll="0">
      <items count="52">
        <item x="7"/>
        <item x="2"/>
        <item x="16"/>
        <item x="15"/>
        <item x="46"/>
        <item x="10"/>
        <item x="1"/>
        <item x="6"/>
        <item x="11"/>
        <item x="41"/>
        <item x="3"/>
        <item x="38"/>
        <item x="23"/>
        <item x="24"/>
        <item x="25"/>
        <item x="22"/>
        <item x="9"/>
        <item x="18"/>
        <item x="8"/>
        <item x="29"/>
        <item x="28"/>
        <item x="39"/>
        <item x="35"/>
        <item x="36"/>
        <item x="37"/>
        <item x="31"/>
        <item x="50"/>
        <item x="4"/>
        <item x="45"/>
        <item x="19"/>
        <item x="30"/>
        <item x="5"/>
        <item x="32"/>
        <item x="0"/>
        <item x="33"/>
        <item x="44"/>
        <item x="43"/>
        <item x="42"/>
        <item x="21"/>
        <item x="20"/>
        <item x="12"/>
        <item x="13"/>
        <item x="27"/>
        <item x="26"/>
        <item x="34"/>
        <item x="14"/>
        <item x="47"/>
        <item x="40"/>
        <item x="48"/>
        <item x="49"/>
        <item x="17"/>
        <item t="default"/>
      </items>
    </pivotField>
    <pivotField showAll="0"/>
    <pivotField showAll="0"/>
    <pivotField numFmtId="1" showAll="0"/>
    <pivotField dataField="1" numFmtId="1" showAll="0"/>
  </pivotFields>
  <rowFields count="2">
    <field x="1"/>
    <field x="4"/>
  </rowFields>
  <rowItems count="63">
    <i>
      <x/>
    </i>
    <i r="1">
      <x/>
    </i>
    <i r="1">
      <x v="7"/>
    </i>
    <i r="1">
      <x v="31"/>
    </i>
    <i>
      <x v="1"/>
    </i>
    <i r="1">
      <x v="1"/>
    </i>
    <i r="1">
      <x v="6"/>
    </i>
    <i r="1">
      <x v="10"/>
    </i>
    <i r="1">
      <x v="27"/>
    </i>
    <i r="1">
      <x v="33"/>
    </i>
    <i>
      <x v="2"/>
    </i>
    <i r="1">
      <x v="2"/>
    </i>
    <i r="1">
      <x v="3"/>
    </i>
    <i r="1">
      <x v="40"/>
    </i>
    <i r="1">
      <x v="41"/>
    </i>
    <i r="1">
      <x v="45"/>
    </i>
    <i>
      <x v="3"/>
    </i>
    <i r="1">
      <x v="12"/>
    </i>
    <i r="1">
      <x v="13"/>
    </i>
    <i r="1">
      <x v="14"/>
    </i>
    <i r="1">
      <x v="15"/>
    </i>
    <i r="1">
      <x v="38"/>
    </i>
    <i r="1">
      <x v="39"/>
    </i>
    <i>
      <x v="4"/>
    </i>
    <i r="1">
      <x v="22"/>
    </i>
    <i r="1">
      <x v="23"/>
    </i>
    <i r="1">
      <x v="32"/>
    </i>
    <i r="1">
      <x v="34"/>
    </i>
    <i r="1">
      <x v="44"/>
    </i>
    <i>
      <x v="5"/>
    </i>
    <i r="1">
      <x v="17"/>
    </i>
    <i r="1">
      <x v="29"/>
    </i>
    <i r="1">
      <x v="50"/>
    </i>
    <i>
      <x v="6"/>
    </i>
    <i r="1">
      <x v="5"/>
    </i>
    <i r="1">
      <x v="8"/>
    </i>
    <i r="1">
      <x v="16"/>
    </i>
    <i r="1">
      <x v="18"/>
    </i>
    <i>
      <x v="7"/>
    </i>
    <i r="1">
      <x v="26"/>
    </i>
    <i r="1">
      <x v="46"/>
    </i>
    <i r="1">
      <x v="48"/>
    </i>
    <i r="1">
      <x v="49"/>
    </i>
    <i>
      <x v="8"/>
    </i>
    <i r="1">
      <x v="9"/>
    </i>
    <i r="1">
      <x v="11"/>
    </i>
    <i r="1">
      <x v="21"/>
    </i>
    <i r="1">
      <x v="24"/>
    </i>
    <i r="1">
      <x v="37"/>
    </i>
    <i r="1">
      <x v="47"/>
    </i>
    <i>
      <x v="9"/>
    </i>
    <i r="1">
      <x v="4"/>
    </i>
    <i r="1">
      <x v="28"/>
    </i>
    <i r="1">
      <x v="35"/>
    </i>
    <i r="1">
      <x v="36"/>
    </i>
    <i>
      <x v="10"/>
    </i>
    <i r="1">
      <x v="19"/>
    </i>
    <i r="1">
      <x v="20"/>
    </i>
    <i r="1">
      <x v="25"/>
    </i>
    <i r="1">
      <x v="30"/>
    </i>
    <i r="1">
      <x v="42"/>
    </i>
    <i r="1">
      <x v="43"/>
    </i>
    <i t="grand">
      <x/>
    </i>
  </rowItems>
  <colItems count="1">
    <i/>
  </colItems>
  <dataFields count="1">
    <dataField name="Suma de Porcentaje alcanzado" fld="8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DBB2ED-8600-4915-BB56-BAD06FC59A86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C48" firstHeaderRow="0" firstDataRow="1" firstDataCol="1"/>
  <pivotFields count="9">
    <pivotField showAll="0"/>
    <pivotField showAll="0"/>
    <pivotField showAll="0"/>
    <pivotField axis="axisRow" showAll="0">
      <items count="19">
        <item x="9"/>
        <item x="15"/>
        <item x="16"/>
        <item x="2"/>
        <item x="8"/>
        <item x="11"/>
        <item x="12"/>
        <item x="13"/>
        <item x="6"/>
        <item x="0"/>
        <item x="14"/>
        <item x="4"/>
        <item x="17"/>
        <item x="5"/>
        <item x="3"/>
        <item x="1"/>
        <item x="10"/>
        <item x="7"/>
        <item t="default"/>
      </items>
    </pivotField>
    <pivotField showAll="0"/>
    <pivotField showAll="0"/>
    <pivotField dataField="1" showAll="0"/>
    <pivotField dataField="1" numFmtId="1" showAll="0"/>
    <pivotField numFmtId="1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de Puntaje para la gobernanza" fld="6" baseField="0" baseItem="0"/>
    <dataField name="Suma de Puntaje máximo del indicador" fld="7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F753B4-D13A-40E3-A635-BA173337E7D2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9:B48" firstHeaderRow="1" firstDataRow="1" firstDataCol="1"/>
  <pivotFields count="9">
    <pivotField showAll="0"/>
    <pivotField showAll="0"/>
    <pivotField showAll="0"/>
    <pivotField axis="axisRow" showAll="0">
      <items count="19">
        <item x="9"/>
        <item x="15"/>
        <item x="16"/>
        <item x="2"/>
        <item x="8"/>
        <item x="11"/>
        <item x="12"/>
        <item x="13"/>
        <item x="6"/>
        <item x="0"/>
        <item x="14"/>
        <item x="4"/>
        <item x="17"/>
        <item x="5"/>
        <item x="3"/>
        <item x="1"/>
        <item x="10"/>
        <item x="7"/>
        <item t="default"/>
      </items>
    </pivotField>
    <pivotField showAll="0"/>
    <pivotField showAll="0"/>
    <pivotField showAll="0"/>
    <pivotField numFmtId="1" showAll="0"/>
    <pivotField dataField="1" numFmtId="1" showAll="0"/>
  </pivotFields>
  <rowFields count="1">
    <field x="3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name="Promedio de Porcentaje alcanzado" fld="8" subtotal="average" baseField="3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E37292-0E4A-4B18-A241-FF01A22DF8EE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9:B22" firstHeaderRow="1" firstDataRow="1" firstDataCol="1" rowPageCount="1" colPageCount="1"/>
  <pivotFields count="9">
    <pivotField showAll="0"/>
    <pivotField axis="axisPage" multipleItemSelectionAllowed="1" showAll="0">
      <items count="12">
        <item x="1"/>
        <item h="1" x="0"/>
        <item h="1" x="3"/>
        <item h="1" x="5"/>
        <item h="1" x="7"/>
        <item h="1" x="4"/>
        <item h="1" x="2"/>
        <item h="1" x="10"/>
        <item h="1" x="8"/>
        <item h="1" x="9"/>
        <item h="1" x="6"/>
        <item t="default"/>
      </items>
    </pivotField>
    <pivotField axis="axisRow" showAll="0">
      <items count="5">
        <item x="2"/>
        <item x="1"/>
        <item x="3"/>
        <item x="0"/>
        <item t="default"/>
      </items>
    </pivotField>
    <pivotField showAll="0"/>
    <pivotField showAll="0"/>
    <pivotField showAll="0"/>
    <pivotField showAll="0"/>
    <pivotField numFmtId="1" showAll="0"/>
    <pivotField dataField="1" numFmtI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pageFields count="1">
    <pageField fld="1" hier="-1"/>
  </pageFields>
  <dataFields count="1">
    <dataField name="Promedio de Porcentaje alcanzado" fld="8" subtotal="average" baseField="2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A1B2CB-2C7A-41FC-8942-4F746F312DC8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">
  <location ref="A1:B13" firstHeaderRow="1" firstDataRow="1" firstDataCol="1"/>
  <pivotFields count="9">
    <pivotField showAll="0"/>
    <pivotField axis="axisRow" showAll="0">
      <items count="12">
        <item x="1"/>
        <item x="0"/>
        <item x="3"/>
        <item x="5"/>
        <item x="7"/>
        <item x="4"/>
        <item x="2"/>
        <item x="10"/>
        <item x="8"/>
        <item x="9"/>
        <item x="6"/>
        <item t="default"/>
      </items>
    </pivotField>
    <pivotField showAll="0"/>
    <pivotField showAll="0"/>
    <pivotField showAll="0"/>
    <pivotField showAll="0"/>
    <pivotField showAll="0"/>
    <pivotField numFmtId="1" showAll="0"/>
    <pivotField dataField="1" numFmtId="1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Promedio de Porcentaje alcanzado" fld="8" subtotal="average" baseField="1" baseItem="0" numFmtId="1"/>
  </dataFields>
  <formats count="1">
    <format dxfId="0">
      <pivotArea collapsedLevelsAreSubtotals="1" fieldPosition="0">
        <references count="1">
          <reference field="1" count="0"/>
        </references>
      </pivotArea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0A6DA8A-1911-449C-B31D-8CFE4A6B8B10}" name="Tabla1" displayName="Tabla1" ref="A1:W52" totalsRowShown="0" headerRowDxfId="36">
  <autoFilter ref="A1:W52" xr:uid="{E0A6DA8A-1911-449C-B31D-8CFE4A6B8B10}"/>
  <tableColumns count="23">
    <tableColumn id="1" xr3:uid="{A8DF24CE-79F1-47EB-BE27-8B420E3C85F9}" name="N°" dataDxfId="35"/>
    <tableColumn id="2" xr3:uid="{C43C067D-EFF0-4083-938C-77EAD2AF75AA}" name="Dimensión" dataDxfId="34"/>
    <tableColumn id="3" xr3:uid="{AE511FBB-0EEA-40EF-9842-0BE666389E4D}" name="Objetivos" dataDxfId="33"/>
    <tableColumn id="4" xr3:uid="{0AA41C5D-5123-4C23-A319-BB73E92CDD70}" name="Atributo" dataDxfId="32"/>
    <tableColumn id="5" xr3:uid="{DED10CED-412E-453F-BDA9-53A106869179}" name="Índice / Indicador" dataDxfId="31"/>
    <tableColumn id="6" xr3:uid="{0198A032-527B-439D-866B-EC15E0757CE7}" name="Ficha Metodologica " dataCellStyle="Hipervínculo"/>
    <tableColumn id="7" xr3:uid="{341EAE0F-F697-4F11-9FAD-9A98CCE0E667}" name="Criterio 1 ¿El indicador tiene un relación directa y significativa con la definición de gobernanza? Si/No" dataDxfId="30"/>
    <tableColumn id="8" xr3:uid="{876A4D64-D672-49FE-98AC-5C36ED3D2278}" name="Criterio 2 ¿El indicador puede ser mejorado a través de la gestión del Ministerio de Minas y Energía? Si/No" dataDxfId="29"/>
    <tableColumn id="9" xr3:uid="{C4BA6F22-7499-4FBA-9CCD-3CABF85BB558}" name="Criterio 3 ¿El indicador tiene relación con el cumplimiento normativo del sector minero o ambiental ? Si/No" dataDxfId="28"/>
    <tableColumn id="10" xr3:uid="{4A9A41C2-24E2-429B-8719-4B2831214BBC}" name="Criterio 4¿La información requerida para la medición del indicador es generada por el Ministerio de Minas y Energía y/o sus entidades adscritas o vinculadas? Si/NO" dataDxfId="27"/>
    <tableColumn id="11" xr3:uid="{D2C2538C-B33E-48FE-82FD-326844E8283F}" name="Criterio 5 ¿El indicador tiene una frecuencia de medición igual o inferior a un año? Si/No" dataDxfId="26"/>
    <tableColumn id="12" xr3:uid="{F51C3B2B-CB53-47B6-9A4E-DDD4D9F9F79D}" name="Criterio 6¿A partir de los resultados del indicador, el Ministerio de Minas y Energía puede emprender acciones que se concreten en la reglamentación del sector o en la definición de políticas, planes, programas o proyectos? Si/No" dataDxfId="25"/>
    <tableColumn id="13" xr3:uid="{979353D9-08A9-4012-A673-30FD76C8C14E}" name="Criterio 1" dataDxfId="24">
      <calculatedColumnFormula>IF(G2="SI", 5, 1)</calculatedColumnFormula>
    </tableColumn>
    <tableColumn id="14" xr3:uid="{DD829DC0-38D4-4B57-A99B-D1EF8E69DD6B}" name="Criterio 2" dataDxfId="23">
      <calculatedColumnFormula>IF(H2="SI", 5, 1)</calculatedColumnFormula>
    </tableColumn>
    <tableColumn id="15" xr3:uid="{EEC03D55-05E7-4C90-B50E-83639CEA7769}" name="Criterio 3" dataDxfId="22">
      <calculatedColumnFormula>IF(I2="SI", 5, 1)</calculatedColumnFormula>
    </tableColumn>
    <tableColumn id="16" xr3:uid="{0FA4A5C7-7913-4FC2-96D6-92EE5032BB72}" name="Criterio 4" dataDxfId="21">
      <calculatedColumnFormula>IF(J2="SI", 5, 1)</calculatedColumnFormula>
    </tableColumn>
    <tableColumn id="17" xr3:uid="{445CFAF3-26C5-4265-94E7-2D583582686F}" name="Criterio 5" dataDxfId="20">
      <calculatedColumnFormula>IF(K2="SI", 5, 1)</calculatedColumnFormula>
    </tableColumn>
    <tableColumn id="18" xr3:uid="{1B4CB8CD-7576-4EFA-A50A-1312B5965524}" name="Criterio 6" dataDxfId="19">
      <calculatedColumnFormula>IF(L2="SI", 5, 1)</calculatedColumnFormula>
    </tableColumn>
    <tableColumn id="19" xr3:uid="{C66F46B9-023A-4C4D-B566-EBB79EA12CD3}" name="Criterio 7_x000a_Calificación promedio de la dimensión al que corresponde el indicador, en los talleres regionales" dataDxfId="18"/>
    <tableColumn id="20" xr3:uid="{593922EE-9FEF-4D7C-8E1E-5DBC1C474052}" name="Criterio 8_x000a_Calificación promedio del indicador en los talleres regionales" dataDxfId="17"/>
    <tableColumn id="21" xr3:uid="{FE88E2D1-5A01-4C61-B2D8-1677E898176C}" name="Total" dataDxfId="16">
      <calculatedColumnFormula>SUM(M2:T2)</calculatedColumnFormula>
    </tableColumn>
    <tableColumn id="22" xr3:uid="{364E4DC5-AF2B-43D2-A57F-CEE4CCC5D550}" name="Normalización" dataDxfId="15">
      <calculatedColumnFormula>(Tabla1[[#This Row],[Total]]/$U$53)*1000</calculatedColumnFormula>
    </tableColumn>
    <tableColumn id="23" xr3:uid="{EDF7E4A7-5ACD-466C-854F-905C6C6C509A}" name="Aproximación a la unidad" dataDxfId="14">
      <calculatedColumnFormula>ROUND(Tabla1[[#This Row],[Normalización]],0)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3F21825-53C9-4D61-8026-452F6DFE5088}" name="Tabla2" displayName="Tabla2" ref="A1:J54" totalsRowCount="1" headerRowDxfId="13">
  <autoFilter ref="A1:J53" xr:uid="{13F21825-53C9-4D61-8026-452F6DFE5088}"/>
  <tableColumns count="10">
    <tableColumn id="1" xr3:uid="{E5ADDA88-13D8-457A-AFF4-D3A32D657EC4}" name="N°" dataDxfId="12"/>
    <tableColumn id="2" xr3:uid="{0C3D63D6-FC96-4640-AD50-EDD26DDF46DD}" name="Dimensión" dataDxfId="11"/>
    <tableColumn id="3" xr3:uid="{D20D0DD3-A554-4029-9572-10B743EA4A08}" name="Objetivos" dataDxfId="10"/>
    <tableColumn id="4" xr3:uid="{C4432B99-A6AE-48F9-BD0D-8A209C21B04D}" name="Atributo" dataDxfId="9"/>
    <tableColumn id="5" xr3:uid="{A1B26168-A432-4C82-9EAB-550809B6A394}" name="Índice / Indicador" dataDxfId="8"/>
    <tableColumn id="6" xr3:uid="{27CFA83E-C610-4A84-AA98-41781D762475}" name="Resultado del indicador _x000a_(en sus unidades)" dataDxfId="7" dataCellStyle="Porcentaje"/>
    <tableColumn id="7" xr3:uid="{B6AD0A31-B2EC-443A-98FF-B8723066A05A}" name="Puntaje para la gobernanza" totalsRowFunction="sum" dataDxfId="6" totalsRowDxfId="5"/>
    <tableColumn id="8" xr3:uid="{48555891-5B3A-4346-A51B-D77BF5507381}" name="Puntaje máximo del indicador" totalsRowFunction="sum" dataDxfId="4" totalsRowDxfId="3">
      <calculatedColumnFormula>Tabla1[[#This Row],[Aproximación a la unidad]]</calculatedColumnFormula>
    </tableColumn>
    <tableColumn id="9" xr3:uid="{DEE1B35F-D35D-4BA8-BFAE-03EFE4827BAD}" name="Porcentaje alcanzado" totalsRowFunction="average" dataDxfId="2" totalsRowDxfId="1" dataCellStyle="Porcentaje">
      <calculatedColumnFormula>G2/H2*100</calculatedColumnFormula>
    </tableColumn>
    <tableColumn id="10" xr3:uid="{2FD814FE-9E97-4024-8889-C71BA29A07EA}" name="Columna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inenergia.gov.co/es/servicio-al-ciudadano/foros/" TargetMode="External"/><Relationship Id="rId3" Type="http://schemas.openxmlformats.org/officeDocument/2006/relationships/hyperlink" Target="https://www.minenergia.gov.co/es/misional/gesti&#243;n-social-y-ambiental/derechos-humanos/" TargetMode="External"/><Relationship Id="rId7" Type="http://schemas.openxmlformats.org/officeDocument/2006/relationships/hyperlink" Target="https://www.minenergia.gov.co/es/servicio-al-ciudadano/foros/" TargetMode="External"/><Relationship Id="rId2" Type="http://schemas.openxmlformats.org/officeDocument/2006/relationships/hyperlink" Target="https://www.minenergia.gov.co/es/misional/gesti&#243;n-social-y-ambiental/derechos-humanos/" TargetMode="External"/><Relationship Id="rId1" Type="http://schemas.openxmlformats.org/officeDocument/2006/relationships/hyperlink" Target="https://www.minenergia.gov.co/es/misional/gesti&#243;n-social-y-ambiental/derechos-humanos/" TargetMode="External"/><Relationship Id="rId6" Type="http://schemas.openxmlformats.org/officeDocument/2006/relationships/hyperlink" Target="https://www.minenergia.gov.co/es/servicio-al-ciudadano/foros/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minenergia.gov.co/es/ministerio/gesti&#243;n/presupuesto/presupuesto-general-asignado/" TargetMode="External"/><Relationship Id="rId10" Type="http://schemas.openxmlformats.org/officeDocument/2006/relationships/hyperlink" Target="https://www.minenergia.gov.co/es/servicio-al-ciudadano/foros/" TargetMode="External"/><Relationship Id="rId4" Type="http://schemas.openxmlformats.org/officeDocument/2006/relationships/hyperlink" Target="https://www.minenergia.gov.co/es/misional/gesti&#243;n-social-y-ambiental/derechos-humanos/" TargetMode="External"/><Relationship Id="rId9" Type="http://schemas.openxmlformats.org/officeDocument/2006/relationships/hyperlink" Target="https://www.minenergia.gov.co/es/servicio-al-ciudadano/foros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/../../:w:/g/personal/ancasallas_minenergia_gov_co/Ecwkh8S5onpEkpS7cu9jgn0BQur2n5n6L3WnVPcORco1Nw?e=iA5Wi7" TargetMode="External"/><Relationship Id="rId18" Type="http://schemas.openxmlformats.org/officeDocument/2006/relationships/hyperlink" Target="../../../:w:/g/personal/ancasallas_minenergia_gov_co/Eek38ViGlV5DtkjlyfSA1bkBUSDyHXOcTjfY5Ja9admIiQ?e=WnWZY0" TargetMode="External"/><Relationship Id="rId26" Type="http://schemas.openxmlformats.org/officeDocument/2006/relationships/hyperlink" Target="../../../:w:/g/personal/ancasallas_minenergia_gov_co/Ecv5sv_cAFZBlAUcK2GP5gIBO1ze_bVGScZyFONkX1HYZQ?e=AIfZui" TargetMode="External"/><Relationship Id="rId39" Type="http://schemas.openxmlformats.org/officeDocument/2006/relationships/hyperlink" Target="../../../:w:/g/personal/ancasallas_minenergia_gov_co/EZl_Nl6SIY9Fgbo-W1q8MYMBJPvIlYFkHtru7OnKhEDCEA?e=e309QF" TargetMode="External"/><Relationship Id="rId21" Type="http://schemas.openxmlformats.org/officeDocument/2006/relationships/hyperlink" Target="../../../:w:/g/personal/ancasallas_minenergia_gov_co/ERH8p9E6R41DltE5UtsmEGEBmHibaBHOBSa6j-81J3Hmxw?e=Gtg0sd" TargetMode="External"/><Relationship Id="rId34" Type="http://schemas.openxmlformats.org/officeDocument/2006/relationships/hyperlink" Target="../../../:w:/g/personal/ancasallas_minenergia_gov_co/ERl1d1HR9tNHjsGJQsiLaKwB8cl5sIwqB2rjTED5i-1j0Q?e=g8OxRE" TargetMode="External"/><Relationship Id="rId42" Type="http://schemas.openxmlformats.org/officeDocument/2006/relationships/hyperlink" Target="../../../:w:/g/personal/ancasallas_minenergia_gov_co/EdelaFFgqUJMtWW2tMuZeJYB9-_hbTfhfWL8B1hwPdOOwQ?e=rOAsV6" TargetMode="External"/><Relationship Id="rId47" Type="http://schemas.openxmlformats.org/officeDocument/2006/relationships/hyperlink" Target="../../../:w:/g/personal/ancasallas_minenergia_gov_co/EZ8U4ep3nfRJoBGvL2dCqaUBNB5vXMkRhSYnx3MTO_JZSQ?e=XjvnG9" TargetMode="External"/><Relationship Id="rId50" Type="http://schemas.openxmlformats.org/officeDocument/2006/relationships/hyperlink" Target="../../../:w:/g/personal/ancasallas_minenergia_gov_co/EbwTS7m11lNIpDCg2NvVkTcBCEFTuap9csEpsbm8jQtskw?e=RkKCqG" TargetMode="External"/><Relationship Id="rId7" Type="http://schemas.openxmlformats.org/officeDocument/2006/relationships/hyperlink" Target="../../../:w:/g/personal/ancasallas_minenergia_gov_co/EblkRacF9MtMgQtSlnUqFOEBy4JL05bZqDpnas-9_2HNkQ?e=EUcZMH" TargetMode="External"/><Relationship Id="rId2" Type="http://schemas.openxmlformats.org/officeDocument/2006/relationships/hyperlink" Target="../../../:w:/g/personal/ancasallas_minenergia_gov_co/EbAsw0mP2jhIqLTPhaaTlyABnIxNDzNgluLocy0OhzAEdg?e=0FvJdL" TargetMode="External"/><Relationship Id="rId16" Type="http://schemas.openxmlformats.org/officeDocument/2006/relationships/hyperlink" Target="../../../:w:/g/personal/ancasallas_minenergia_gov_co/EZMBNKg_5ghGm1VkvaJISZkBAAZO8mGMcF1XH_xuLVH0HA?e=zBopSg" TargetMode="External"/><Relationship Id="rId29" Type="http://schemas.openxmlformats.org/officeDocument/2006/relationships/hyperlink" Target="../../../:w:/g/personal/ancasallas_minenergia_gov_co/EflF40nsfD1Kjt95Nms5xRkBHkV81JVzlr_BxITkKTq8lw?e=GSSDRR" TargetMode="External"/><Relationship Id="rId11" Type="http://schemas.openxmlformats.org/officeDocument/2006/relationships/hyperlink" Target="../../../:w:/g/personal/ancasallas_minenergia_gov_co/ESfD3RZTZKZGpMODy4GP-QUBDgfqghB9lB4gUnywXv5axg?e=QDjwDV" TargetMode="External"/><Relationship Id="rId24" Type="http://schemas.openxmlformats.org/officeDocument/2006/relationships/hyperlink" Target="../../../:w:/g/personal/ancasallas_minenergia_gov_co/EZ583i63RERBiZKOot4r2_oBBIYJLqfH7mxTCxJ_rYmlVA?e=9j9RzP" TargetMode="External"/><Relationship Id="rId32" Type="http://schemas.openxmlformats.org/officeDocument/2006/relationships/hyperlink" Target="../../../:w:/g/personal/ancasallas_minenergia_gov_co/EXq4DI7sEnhOmV3WPh6Pam0BWf8W3v3IxKVC-7d2YW71iw?e=Yhnc4S" TargetMode="External"/><Relationship Id="rId37" Type="http://schemas.openxmlformats.org/officeDocument/2006/relationships/hyperlink" Target="../../../:w:/g/personal/ancasallas_minenergia_gov_co/EY2D8D2ivdJMsI9Jxlmn6e8B14LKnOAWuMS3LraL0BXgeg?e=vOW5mM" TargetMode="External"/><Relationship Id="rId40" Type="http://schemas.openxmlformats.org/officeDocument/2006/relationships/hyperlink" Target="../../../:w:/g/personal/ancasallas_minenergia_gov_co/EdhgYdeKVUpErn6rxRTfCTUB1hkpD_5OAlOyrzG8iW9Z6w?e=8cbfHa" TargetMode="External"/><Relationship Id="rId45" Type="http://schemas.openxmlformats.org/officeDocument/2006/relationships/hyperlink" Target="../../../:w:/g/personal/ancasallas_minenergia_gov_co/EdS2VO4V3T9EmR-c1fDlKBYBURhsMKpYgbGGPE0TJKAcSA?e=d2ZmD9" TargetMode="External"/><Relationship Id="rId5" Type="http://schemas.openxmlformats.org/officeDocument/2006/relationships/hyperlink" Target="../../../:w:/g/personal/ancasallas_minenergia_gov_co/EcRtuS84IypJrYJLY9sYVRkBMBGCIrG-ApRwpZDhtX1L6g?e=ljOmZo" TargetMode="External"/><Relationship Id="rId15" Type="http://schemas.openxmlformats.org/officeDocument/2006/relationships/hyperlink" Target="../../../:w:/g/personal/ancasallas_minenergia_gov_co/ETcb2Q1qty9Jky20maLDyhoB1A3WzMQ4uMT9WqFshzaKow?e=PiScWL" TargetMode="External"/><Relationship Id="rId23" Type="http://schemas.openxmlformats.org/officeDocument/2006/relationships/hyperlink" Target="../../../:w:/g/personal/ancasallas_minenergia_gov_co/Ea7Y5Z6SOfhDtqsPqN2bUn0BYuRf0ovbkP-D_ew7S4m2Ew?e=5XFhFM" TargetMode="External"/><Relationship Id="rId28" Type="http://schemas.openxmlformats.org/officeDocument/2006/relationships/hyperlink" Target="../../../:w:/g/personal/ancasallas_minenergia_gov_co/EVzkTj9D26lCsgEGl8DeHCgB8zS3a3WSqhaarJvCu9Aqtg?e=KrinTP" TargetMode="External"/><Relationship Id="rId36" Type="http://schemas.openxmlformats.org/officeDocument/2006/relationships/hyperlink" Target="../../../:w:/g/personal/ancasallas_minenergia_gov_co/EZvv6pJhwQxPtUK8uIc_YWYBkxcWK4BUARon_iunubmxFg?e=6ty9z1" TargetMode="External"/><Relationship Id="rId49" Type="http://schemas.openxmlformats.org/officeDocument/2006/relationships/hyperlink" Target="../../../:w:/g/personal/ancasallas_minenergia_gov_co/EdBXcC3405VHsVd_NAmz_MQBDoVVFL2UqRTTCkm0npeOLg?e=6Ee6il" TargetMode="External"/><Relationship Id="rId10" Type="http://schemas.openxmlformats.org/officeDocument/2006/relationships/hyperlink" Target="../../../:w:/g/personal/ancasallas_minenergia_gov_co/EbfmEWEiA65EjWvxgytaw_wB789HIyWqsKV6yL6QrdkCEQ?e=y9GdcA" TargetMode="External"/><Relationship Id="rId19" Type="http://schemas.openxmlformats.org/officeDocument/2006/relationships/hyperlink" Target="../../../:w:/g/personal/ancasallas_minenergia_gov_co/EXYjY_YoO59Lkn1x-p4Rj54B06fgui-wRqFBSz8Me1FkPA?e=z7ILbi" TargetMode="External"/><Relationship Id="rId31" Type="http://schemas.openxmlformats.org/officeDocument/2006/relationships/hyperlink" Target="../../../:w:/g/personal/ancasallas_minenergia_gov_co/EYVbjEau9EtBsOzxSA_KHhkBRz_2azcGIBZdqOl-igCmGQ?e=DqfbWo" TargetMode="External"/><Relationship Id="rId44" Type="http://schemas.openxmlformats.org/officeDocument/2006/relationships/hyperlink" Target="../../../:w:/g/personal/ancasallas_minenergia_gov_co/EdM0SGU-dINJhOFEpXsrP6MBeRbR-8NscohlQXIfXsE9-Q?e=CMoGKH" TargetMode="External"/><Relationship Id="rId52" Type="http://schemas.openxmlformats.org/officeDocument/2006/relationships/table" Target="../tables/table1.xml"/><Relationship Id="rId4" Type="http://schemas.openxmlformats.org/officeDocument/2006/relationships/hyperlink" Target="../../../:w:/g/personal/ancasallas_minenergia_gov_co/Eaix1W_YL1hGi_QQF3ZbtMgBvg_Xe5xKYRQGQZOXJ1mi7Q?e=Bwo8qe" TargetMode="External"/><Relationship Id="rId9" Type="http://schemas.openxmlformats.org/officeDocument/2006/relationships/hyperlink" Target="../../../:w:/g/personal/ancasallas_minenergia_gov_co/Ecj2SyRzmkJOugJo5NOMMQABXjmDJSZo7NAs6oNfLI6ZNA?e=ueVDn5" TargetMode="External"/><Relationship Id="rId14" Type="http://schemas.openxmlformats.org/officeDocument/2006/relationships/hyperlink" Target="../../../:w:/g/personal/ancasallas_minenergia_gov_co/EUhNyaPgo_NMi_s9LznOvfsB5A9_a8ENewJb4OIQ02TJ3A?e=WVkHbI" TargetMode="External"/><Relationship Id="rId22" Type="http://schemas.openxmlformats.org/officeDocument/2006/relationships/hyperlink" Target="../../../:w:/g/personal/ancasallas_minenergia_gov_co/EYIxMjC36CVFp657NCCeI5YB-GuqMcRFujr5N6novSD-8Q?e=qBmZs7" TargetMode="External"/><Relationship Id="rId27" Type="http://schemas.openxmlformats.org/officeDocument/2006/relationships/hyperlink" Target="../../../:w:/g/personal/ancasallas_minenergia_gov_co/ETZjGJiUbBBMjNPVnexL4jIBfPlPay5BFjduLn6LrChWGg?e=d1TPyc" TargetMode="External"/><Relationship Id="rId30" Type="http://schemas.openxmlformats.org/officeDocument/2006/relationships/hyperlink" Target="../../../:w:/r/personal/ancasallas_minenergia_gov_co/Documents/Datos%20adjuntos/30.%20Participaci%C3%B3n%20de%20las%20FNCER%20en%20la%20matriz%20energ%C3%A9tica%20el%C3%A9ctrica.docx?d=w267b6f52024e45918cc2a8eb1188b50f&amp;csf=1&amp;web=1&amp;e=aoUWMq" TargetMode="External"/><Relationship Id="rId35" Type="http://schemas.openxmlformats.org/officeDocument/2006/relationships/hyperlink" Target="../../../:w:/g/personal/ancasallas_minenergia_gov_co/EeJxMjp-mh9CnqEbaTXYKmwBQj_-lLo3bkjUcwIAi9LpSw?e=PUGyi3" TargetMode="External"/><Relationship Id="rId43" Type="http://schemas.openxmlformats.org/officeDocument/2006/relationships/hyperlink" Target="../../../:w:/g/personal/ancasallas_minenergia_gov_co/EQmJ8OFz-41Lte5VCBoB5_UB6WatHMnyoLuryNo9RnoKBw?e=KOI66k" TargetMode="External"/><Relationship Id="rId48" Type="http://schemas.openxmlformats.org/officeDocument/2006/relationships/hyperlink" Target="../../../:w:/g/personal/ancasallas_minenergia_gov_co/EfjYw60eIU9Lt8Z1RMSMWXIB26ryQ0enSaK7bf9xmpFOPw?e=bJRP9V" TargetMode="External"/><Relationship Id="rId8" Type="http://schemas.openxmlformats.org/officeDocument/2006/relationships/hyperlink" Target="../../../:w:/r/personal/ancasallas_minenergia_gov_co/Documents/Datos%20adjuntos/08.%20Acceso%20a%20justicia.docx?d=w9e44ee6992624f1f9301875c4a32f0b1&amp;csf=1&amp;web=1&amp;e=VSTwhE" TargetMode="External"/><Relationship Id="rId51" Type="http://schemas.openxmlformats.org/officeDocument/2006/relationships/hyperlink" Target="../../../:w:/g/personal/ancasallas_minenergia_gov_co/Ef0f1V8EaDxBoxe3mr729-sBXKLziXJsOFH4sZdwwl6_mA?e=CvN6dL" TargetMode="External"/><Relationship Id="rId3" Type="http://schemas.openxmlformats.org/officeDocument/2006/relationships/hyperlink" Target="../../../:w:/g/personal/ancasallas_minenergia_gov_co/ES_qUrmuoa9FiDGzKyvAF-4BxmIUwaKsl6NWF_tlaF9aaQ?e=nYcR2x" TargetMode="External"/><Relationship Id="rId12" Type="http://schemas.openxmlformats.org/officeDocument/2006/relationships/hyperlink" Target="../../../:w:/g/personal/ancasallas_minenergia_gov_co/Ea2grvVu4RRMu8LtdJpmRMQBnNr9pJtJQKhDQGgtzMQOBQ?e=UwIs9q" TargetMode="External"/><Relationship Id="rId17" Type="http://schemas.openxmlformats.org/officeDocument/2006/relationships/hyperlink" Target="../../../:w:/g/personal/ancasallas_minenergia_gov_co/EVOZnWD8PwtDpIRo5glY7FwBHE8BicZFly4vNu-SgraG6A?e=H4c7cA" TargetMode="External"/><Relationship Id="rId25" Type="http://schemas.openxmlformats.org/officeDocument/2006/relationships/hyperlink" Target="../../../:w:/g/personal/ancasallas_minenergia_gov_co/EdxBGkmNrL1KmEGAXL3J884BVUWlOAX_Kp8nEkRTe5RgLQ?e=0IUo9p" TargetMode="External"/><Relationship Id="rId33" Type="http://schemas.openxmlformats.org/officeDocument/2006/relationships/hyperlink" Target="../../../:w:/g/personal/ancasallas_minenergia_gov_co/EfOT6XRnH49IlTW9hWnzR7kBj9EABb21-Bx9gGOkPAcyDg?e=2Ewl2j" TargetMode="External"/><Relationship Id="rId38" Type="http://schemas.openxmlformats.org/officeDocument/2006/relationships/hyperlink" Target="../../../:w:/g/personal/ancasallas_minenergia_gov_co/EftG30r2n31EnMQ5ymF1qHsBNv_0zbczswrtwZr2_wlpGQ?e=ZiZRtz" TargetMode="External"/><Relationship Id="rId46" Type="http://schemas.openxmlformats.org/officeDocument/2006/relationships/hyperlink" Target="../../../:w:/g/personal/ancasallas_minenergia_gov_co/EYBF0T0n1gFHjznOmU8DGmQBrGp_q3OrLUcBFCekvMKYKQ?e=GTen6g" TargetMode="External"/><Relationship Id="rId20" Type="http://schemas.openxmlformats.org/officeDocument/2006/relationships/hyperlink" Target="../../../:w:/g/personal/ancasallas_minenergia_gov_co/Eeq9eN-upd5Iq90tXp4ylmcBcd6G8Z8V8q2wECwYhGspzw?e=hxsGoM" TargetMode="External"/><Relationship Id="rId41" Type="http://schemas.openxmlformats.org/officeDocument/2006/relationships/hyperlink" Target="../../../:w:/g/personal/ancasallas_minenergia_gov_co/EZwQGvg99dFBhAb09UF2CmYBpAvpBNN8Qh9MRR1qHQkb1g?e=rpBzEW" TargetMode="External"/><Relationship Id="rId1" Type="http://schemas.openxmlformats.org/officeDocument/2006/relationships/hyperlink" Target="../../../:w:/g/personal/ancasallas_minenergia_gov_co/EZlPLBjzWCdGi1JX_D2NUaUBIRpxWJlCZYtTNlIUDkJySA?e=LcKHxM" TargetMode="External"/><Relationship Id="rId6" Type="http://schemas.openxmlformats.org/officeDocument/2006/relationships/hyperlink" Target="../../../:w:/g/personal/ancasallas_minenergia_gov_co/EV0og24SjdpHot55opqbQWAB5gSy8v8QWCnPOagHMIcb6A?e=MBOfl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45FE5-C3AA-468B-B174-4CA18A52EDE8}">
  <dimension ref="A1:U902"/>
  <sheetViews>
    <sheetView topLeftCell="I1" zoomScale="82" zoomScaleNormal="80" workbookViewId="0">
      <pane ySplit="3" topLeftCell="A4" activePane="bottomLeft" state="frozen"/>
      <selection pane="bottomLeft" activeCell="A2" sqref="A2:S2"/>
    </sheetView>
  </sheetViews>
  <sheetFormatPr baseColWidth="10" defaultRowHeight="14.4" x14ac:dyDescent="0.3"/>
  <cols>
    <col min="1" max="1" width="28.33203125" bestFit="1" customWidth="1"/>
    <col min="2" max="2" width="28.33203125" customWidth="1"/>
    <col min="3" max="3" width="125.5546875" bestFit="1" customWidth="1"/>
    <col min="4" max="4" width="23.44140625" bestFit="1" customWidth="1"/>
    <col min="5" max="5" width="16.5546875" bestFit="1" customWidth="1"/>
    <col min="6" max="6" width="14.5546875" bestFit="1" customWidth="1"/>
    <col min="7" max="7" width="18.5546875" bestFit="1" customWidth="1"/>
    <col min="8" max="8" width="17.77734375" bestFit="1" customWidth="1"/>
    <col min="9" max="9" width="36.44140625" bestFit="1" customWidth="1"/>
    <col min="10" max="10" width="28.44140625" bestFit="1" customWidth="1"/>
    <col min="11" max="11" width="18.5546875" bestFit="1" customWidth="1"/>
    <col min="12" max="12" width="39.109375" bestFit="1" customWidth="1"/>
    <col min="13" max="13" width="18.21875" bestFit="1" customWidth="1"/>
    <col min="14" max="14" width="69.88671875" customWidth="1"/>
    <col min="15" max="15" width="18.109375" bestFit="1" customWidth="1"/>
    <col min="16" max="16" width="24.6640625" bestFit="1" customWidth="1"/>
    <col min="17" max="17" width="52.88671875" customWidth="1"/>
    <col min="18" max="18" width="127.77734375" customWidth="1"/>
    <col min="19" max="19" width="27.109375" customWidth="1"/>
  </cols>
  <sheetData>
    <row r="1" spans="1:19" s="1" customFormat="1" ht="34.950000000000003" customHeight="1" x14ac:dyDescent="0.3">
      <c r="A1" s="158" t="s">
        <v>0</v>
      </c>
      <c r="B1" s="158"/>
      <c r="C1" s="158"/>
      <c r="D1" s="158"/>
      <c r="E1" s="158"/>
      <c r="F1" s="158"/>
      <c r="G1" s="158"/>
      <c r="H1" s="158"/>
      <c r="I1" s="158"/>
      <c r="J1" s="158"/>
      <c r="K1" s="158"/>
      <c r="L1" s="159" t="s">
        <v>1</v>
      </c>
      <c r="M1" s="159"/>
      <c r="N1" s="159"/>
      <c r="O1" s="156" t="s">
        <v>2</v>
      </c>
      <c r="P1" s="157"/>
      <c r="Q1" s="157"/>
      <c r="R1" s="157"/>
      <c r="S1" s="157"/>
    </row>
    <row r="2" spans="1:19" ht="24" customHeight="1" x14ac:dyDescent="0.3">
      <c r="A2" s="78" t="s">
        <v>3</v>
      </c>
      <c r="B2" s="78" t="s">
        <v>1230</v>
      </c>
      <c r="C2" s="78" t="s">
        <v>4</v>
      </c>
      <c r="D2" s="78" t="s">
        <v>5</v>
      </c>
      <c r="E2" s="78" t="s">
        <v>6</v>
      </c>
      <c r="F2" s="78" t="s">
        <v>7</v>
      </c>
      <c r="G2" s="78" t="s">
        <v>8</v>
      </c>
      <c r="H2" s="78" t="s">
        <v>9</v>
      </c>
      <c r="I2" s="78" t="s">
        <v>10</v>
      </c>
      <c r="J2" s="78" t="s">
        <v>11</v>
      </c>
      <c r="K2" s="78" t="s">
        <v>1229</v>
      </c>
      <c r="L2" s="78" t="s">
        <v>1226</v>
      </c>
      <c r="M2" s="78" t="s">
        <v>1228</v>
      </c>
      <c r="N2" s="78" t="s">
        <v>12</v>
      </c>
      <c r="O2" s="78" t="s">
        <v>15</v>
      </c>
      <c r="P2" s="78" t="s">
        <v>16</v>
      </c>
      <c r="Q2" s="78" t="s">
        <v>1227</v>
      </c>
      <c r="R2" s="78" t="s">
        <v>13</v>
      </c>
      <c r="S2" s="78" t="s">
        <v>14</v>
      </c>
    </row>
    <row r="3" spans="1:19" s="7" customFormat="1" ht="38.4" customHeight="1" x14ac:dyDescent="0.3">
      <c r="A3" s="3" t="s">
        <v>20</v>
      </c>
      <c r="B3" s="3"/>
      <c r="C3" s="3" t="s">
        <v>21</v>
      </c>
      <c r="D3" s="3" t="s">
        <v>22</v>
      </c>
      <c r="E3" s="4"/>
      <c r="F3" s="3" t="s">
        <v>23</v>
      </c>
      <c r="G3" s="3" t="s">
        <v>24</v>
      </c>
      <c r="H3" s="3" t="s">
        <v>25</v>
      </c>
      <c r="I3" s="3" t="s">
        <v>27</v>
      </c>
      <c r="J3" s="3" t="s">
        <v>28</v>
      </c>
      <c r="K3" s="3" t="s">
        <v>29</v>
      </c>
      <c r="L3" s="3" t="s">
        <v>30</v>
      </c>
      <c r="M3" s="3" t="s">
        <v>31</v>
      </c>
      <c r="N3" s="5"/>
      <c r="O3" s="5"/>
      <c r="P3" s="5"/>
      <c r="Q3" s="5"/>
      <c r="R3" s="88" t="s">
        <v>32</v>
      </c>
      <c r="S3" s="3" t="s">
        <v>33</v>
      </c>
    </row>
    <row r="4" spans="1:19" s="8" customFormat="1" x14ac:dyDescent="0.3">
      <c r="A4" t="s">
        <v>53</v>
      </c>
      <c r="B4">
        <v>1</v>
      </c>
      <c r="C4" t="s">
        <v>54</v>
      </c>
      <c r="D4" t="s">
        <v>36</v>
      </c>
      <c r="E4" t="s">
        <v>37</v>
      </c>
      <c r="F4" t="s">
        <v>38</v>
      </c>
      <c r="G4" t="s">
        <v>39</v>
      </c>
      <c r="H4">
        <v>2023</v>
      </c>
      <c r="I4" t="s">
        <v>271</v>
      </c>
      <c r="J4" t="s">
        <v>272</v>
      </c>
      <c r="K4" t="s">
        <v>273</v>
      </c>
      <c r="L4" t="s">
        <v>270</v>
      </c>
      <c r="M4">
        <v>2023</v>
      </c>
      <c r="N4" s="20" t="s">
        <v>1233</v>
      </c>
      <c r="O4" t="s">
        <v>45</v>
      </c>
      <c r="P4" t="s">
        <v>46</v>
      </c>
      <c r="Q4" t="s">
        <v>1231</v>
      </c>
      <c r="R4" t="s">
        <v>544</v>
      </c>
      <c r="S4">
        <v>3</v>
      </c>
    </row>
    <row r="5" spans="1:19" s="8" customFormat="1" x14ac:dyDescent="0.3">
      <c r="A5" t="s">
        <v>53</v>
      </c>
      <c r="B5">
        <v>1</v>
      </c>
      <c r="C5" t="s">
        <v>54</v>
      </c>
      <c r="D5" t="s">
        <v>36</v>
      </c>
      <c r="E5" t="s">
        <v>37</v>
      </c>
      <c r="F5" t="s">
        <v>38</v>
      </c>
      <c r="G5" t="s">
        <v>39</v>
      </c>
      <c r="H5">
        <v>2023</v>
      </c>
      <c r="I5" t="s">
        <v>271</v>
      </c>
      <c r="J5" t="s">
        <v>272</v>
      </c>
      <c r="K5" t="s">
        <v>273</v>
      </c>
      <c r="L5" t="s">
        <v>270</v>
      </c>
      <c r="M5">
        <v>2023</v>
      </c>
      <c r="N5" s="20" t="s">
        <v>1233</v>
      </c>
      <c r="O5" t="s">
        <v>45</v>
      </c>
      <c r="P5" t="s">
        <v>46</v>
      </c>
      <c r="Q5" t="s">
        <v>1231</v>
      </c>
      <c r="R5" t="s">
        <v>206</v>
      </c>
      <c r="S5">
        <v>5</v>
      </c>
    </row>
    <row r="6" spans="1:19" s="8" customFormat="1" x14ac:dyDescent="0.3">
      <c r="A6" t="s">
        <v>53</v>
      </c>
      <c r="B6">
        <v>1</v>
      </c>
      <c r="C6" t="s">
        <v>54</v>
      </c>
      <c r="D6" t="s">
        <v>36</v>
      </c>
      <c r="E6" s="64" t="s">
        <v>37</v>
      </c>
      <c r="F6" s="64" t="s">
        <v>38</v>
      </c>
      <c r="G6" s="64" t="s">
        <v>39</v>
      </c>
      <c r="H6" s="64">
        <v>2023</v>
      </c>
      <c r="I6" s="64" t="s">
        <v>271</v>
      </c>
      <c r="J6" s="64" t="s">
        <v>272</v>
      </c>
      <c r="K6" s="64" t="s">
        <v>273</v>
      </c>
      <c r="L6" t="s">
        <v>270</v>
      </c>
      <c r="M6">
        <v>2023</v>
      </c>
      <c r="N6" s="64"/>
      <c r="O6" s="64" t="s">
        <v>45</v>
      </c>
      <c r="P6" t="s">
        <v>47</v>
      </c>
      <c r="Q6" s="64" t="s">
        <v>295</v>
      </c>
      <c r="R6" s="64" t="s">
        <v>274</v>
      </c>
      <c r="S6" s="64">
        <f>S4/S5*100</f>
        <v>60</v>
      </c>
    </row>
    <row r="7" spans="1:19" s="8" customFormat="1" ht="28.8" x14ac:dyDescent="0.3">
      <c r="A7" t="s">
        <v>53</v>
      </c>
      <c r="B7">
        <v>1</v>
      </c>
      <c r="C7" t="s">
        <v>54</v>
      </c>
      <c r="D7" t="s">
        <v>36</v>
      </c>
      <c r="E7" t="s">
        <v>37</v>
      </c>
      <c r="F7" t="s">
        <v>38</v>
      </c>
      <c r="G7" t="s">
        <v>39</v>
      </c>
      <c r="H7">
        <v>2023</v>
      </c>
      <c r="I7" t="s">
        <v>271</v>
      </c>
      <c r="J7" t="s">
        <v>272</v>
      </c>
      <c r="K7" t="s">
        <v>273</v>
      </c>
      <c r="L7" t="s">
        <v>270</v>
      </c>
      <c r="M7">
        <v>2023</v>
      </c>
      <c r="N7" s="153" t="s">
        <v>1234</v>
      </c>
      <c r="O7" t="s">
        <v>45</v>
      </c>
      <c r="P7" t="s">
        <v>46</v>
      </c>
      <c r="Q7" t="s">
        <v>1231</v>
      </c>
      <c r="R7" t="s">
        <v>275</v>
      </c>
      <c r="S7">
        <v>0</v>
      </c>
    </row>
    <row r="8" spans="1:19" s="8" customFormat="1" ht="28.8" x14ac:dyDescent="0.3">
      <c r="A8" t="s">
        <v>53</v>
      </c>
      <c r="B8">
        <v>1</v>
      </c>
      <c r="C8" t="s">
        <v>54</v>
      </c>
      <c r="D8" t="s">
        <v>36</v>
      </c>
      <c r="E8" t="s">
        <v>37</v>
      </c>
      <c r="F8" t="s">
        <v>38</v>
      </c>
      <c r="G8" t="s">
        <v>39</v>
      </c>
      <c r="H8">
        <v>2023</v>
      </c>
      <c r="I8" t="s">
        <v>271</v>
      </c>
      <c r="J8" t="s">
        <v>272</v>
      </c>
      <c r="K8"/>
      <c r="L8" t="s">
        <v>270</v>
      </c>
      <c r="M8">
        <v>2023</v>
      </c>
      <c r="N8" s="153" t="s">
        <v>1234</v>
      </c>
      <c r="O8" t="s">
        <v>45</v>
      </c>
      <c r="P8" t="s">
        <v>46</v>
      </c>
      <c r="Q8" t="s">
        <v>1232</v>
      </c>
      <c r="R8" t="s">
        <v>276</v>
      </c>
      <c r="S8">
        <v>0</v>
      </c>
    </row>
    <row r="9" spans="1:19" s="8" customFormat="1" x14ac:dyDescent="0.3">
      <c r="A9" s="64" t="s">
        <v>53</v>
      </c>
      <c r="B9" s="64">
        <v>1</v>
      </c>
      <c r="C9" s="64" t="s">
        <v>54</v>
      </c>
      <c r="D9" t="s">
        <v>36</v>
      </c>
      <c r="E9" s="64" t="s">
        <v>37</v>
      </c>
      <c r="F9" s="64" t="s">
        <v>38</v>
      </c>
      <c r="G9" s="64" t="s">
        <v>39</v>
      </c>
      <c r="H9" s="64">
        <v>2023</v>
      </c>
      <c r="I9" s="64" t="s">
        <v>271</v>
      </c>
      <c r="J9" s="64" t="s">
        <v>272</v>
      </c>
      <c r="K9" s="64"/>
      <c r="L9" s="64" t="s">
        <v>270</v>
      </c>
      <c r="M9">
        <v>2023</v>
      </c>
      <c r="N9" s="64"/>
      <c r="O9" s="64" t="s">
        <v>45</v>
      </c>
      <c r="P9" t="s">
        <v>46</v>
      </c>
      <c r="Q9" s="64" t="s">
        <v>295</v>
      </c>
      <c r="R9" s="64" t="s">
        <v>545</v>
      </c>
      <c r="S9" s="64">
        <v>0</v>
      </c>
    </row>
    <row r="10" spans="1:19" s="8" customFormat="1" x14ac:dyDescent="0.3">
      <c r="A10" t="s">
        <v>53</v>
      </c>
      <c r="B10">
        <v>1</v>
      </c>
      <c r="C10" t="s">
        <v>54</v>
      </c>
      <c r="D10" t="s">
        <v>36</v>
      </c>
      <c r="E10" t="s">
        <v>37</v>
      </c>
      <c r="F10" t="s">
        <v>38</v>
      </c>
      <c r="G10" t="s">
        <v>39</v>
      </c>
      <c r="H10">
        <v>2023</v>
      </c>
      <c r="I10" t="s">
        <v>271</v>
      </c>
      <c r="J10" t="s">
        <v>272</v>
      </c>
      <c r="K10" t="s">
        <v>273</v>
      </c>
      <c r="L10" t="s">
        <v>270</v>
      </c>
      <c r="M10">
        <v>2023</v>
      </c>
      <c r="N10" s="20" t="s">
        <v>1235</v>
      </c>
      <c r="O10" t="s">
        <v>56</v>
      </c>
      <c r="P10" t="s">
        <v>57</v>
      </c>
      <c r="Q10"/>
      <c r="R10" t="s">
        <v>277</v>
      </c>
      <c r="S10" t="s">
        <v>215</v>
      </c>
    </row>
    <row r="11" spans="1:19" s="8" customFormat="1" x14ac:dyDescent="0.3">
      <c r="A11" t="s">
        <v>53</v>
      </c>
      <c r="B11">
        <v>2</v>
      </c>
      <c r="C11" t="s">
        <v>281</v>
      </c>
      <c r="D11" t="s">
        <v>36</v>
      </c>
      <c r="E11" t="s">
        <v>37</v>
      </c>
      <c r="F11" t="s">
        <v>38</v>
      </c>
      <c r="G11" t="s">
        <v>39</v>
      </c>
      <c r="H11">
        <v>2023</v>
      </c>
      <c r="I11" t="s">
        <v>271</v>
      </c>
      <c r="J11"/>
      <c r="K11"/>
      <c r="L11"/>
      <c r="M11">
        <v>2023</v>
      </c>
      <c r="N11" t="s">
        <v>1617</v>
      </c>
      <c r="O11" t="s">
        <v>56</v>
      </c>
      <c r="P11" t="s">
        <v>46</v>
      </c>
      <c r="Q11" t="s">
        <v>1236</v>
      </c>
      <c r="R11" t="s">
        <v>296</v>
      </c>
      <c r="S11">
        <v>8</v>
      </c>
    </row>
    <row r="12" spans="1:19" s="8" customFormat="1" x14ac:dyDescent="0.3">
      <c r="A12" t="s">
        <v>53</v>
      </c>
      <c r="B12">
        <v>2</v>
      </c>
      <c r="C12" t="s">
        <v>281</v>
      </c>
      <c r="D12" t="s">
        <v>36</v>
      </c>
      <c r="E12" t="s">
        <v>37</v>
      </c>
      <c r="F12" t="s">
        <v>38</v>
      </c>
      <c r="G12" t="s">
        <v>39</v>
      </c>
      <c r="H12">
        <v>2023</v>
      </c>
      <c r="I12" t="s">
        <v>271</v>
      </c>
      <c r="J12"/>
      <c r="K12"/>
      <c r="L12"/>
      <c r="M12">
        <v>2023</v>
      </c>
      <c r="N12" t="s">
        <v>1617</v>
      </c>
      <c r="O12" t="s">
        <v>56</v>
      </c>
      <c r="P12" t="s">
        <v>46</v>
      </c>
      <c r="Q12" t="s">
        <v>1236</v>
      </c>
      <c r="R12" t="s">
        <v>297</v>
      </c>
      <c r="S12">
        <v>58</v>
      </c>
    </row>
    <row r="13" spans="1:19" s="8" customFormat="1" x14ac:dyDescent="0.3">
      <c r="A13" t="s">
        <v>53</v>
      </c>
      <c r="B13">
        <v>2</v>
      </c>
      <c r="C13" t="s">
        <v>281</v>
      </c>
      <c r="D13" t="s">
        <v>36</v>
      </c>
      <c r="E13" t="s">
        <v>37</v>
      </c>
      <c r="F13" t="s">
        <v>38</v>
      </c>
      <c r="G13" t="s">
        <v>39</v>
      </c>
      <c r="H13">
        <v>2023</v>
      </c>
      <c r="I13" t="s">
        <v>271</v>
      </c>
      <c r="J13" s="64"/>
      <c r="K13" s="64"/>
      <c r="L13" s="64"/>
      <c r="M13">
        <v>2023</v>
      </c>
      <c r="N13" t="s">
        <v>1617</v>
      </c>
      <c r="O13" t="s">
        <v>45</v>
      </c>
      <c r="P13" t="s">
        <v>1613</v>
      </c>
      <c r="Q13" t="s">
        <v>1614</v>
      </c>
      <c r="R13" s="64" t="s">
        <v>298</v>
      </c>
      <c r="S13" s="64">
        <f>S11/S12*100</f>
        <v>13.793103448275861</v>
      </c>
    </row>
    <row r="14" spans="1:19" s="8" customFormat="1" x14ac:dyDescent="0.3">
      <c r="A14" t="s">
        <v>53</v>
      </c>
      <c r="B14">
        <v>2</v>
      </c>
      <c r="C14" t="s">
        <v>281</v>
      </c>
      <c r="D14" t="s">
        <v>36</v>
      </c>
      <c r="E14" t="s">
        <v>37</v>
      </c>
      <c r="F14" t="s">
        <v>38</v>
      </c>
      <c r="G14" t="s">
        <v>39</v>
      </c>
      <c r="H14">
        <v>2023</v>
      </c>
      <c r="I14" t="s">
        <v>271</v>
      </c>
      <c r="J14"/>
      <c r="K14"/>
      <c r="L14"/>
      <c r="M14">
        <v>2023</v>
      </c>
      <c r="N14" t="s">
        <v>1617</v>
      </c>
      <c r="O14" t="s">
        <v>45</v>
      </c>
      <c r="P14" t="s">
        <v>46</v>
      </c>
      <c r="Q14" t="s">
        <v>1236</v>
      </c>
      <c r="R14" t="s">
        <v>299</v>
      </c>
      <c r="S14">
        <v>3</v>
      </c>
    </row>
    <row r="15" spans="1:19" s="8" customFormat="1" x14ac:dyDescent="0.3">
      <c r="A15" t="s">
        <v>53</v>
      </c>
      <c r="B15">
        <v>2</v>
      </c>
      <c r="C15" t="s">
        <v>281</v>
      </c>
      <c r="D15" t="s">
        <v>36</v>
      </c>
      <c r="E15" t="s">
        <v>37</v>
      </c>
      <c r="F15" t="s">
        <v>38</v>
      </c>
      <c r="G15" t="s">
        <v>39</v>
      </c>
      <c r="H15">
        <v>2023</v>
      </c>
      <c r="I15" t="s">
        <v>271</v>
      </c>
      <c r="J15" s="64"/>
      <c r="K15" s="64"/>
      <c r="L15" s="64"/>
      <c r="M15">
        <v>2023</v>
      </c>
      <c r="N15" t="s">
        <v>1617</v>
      </c>
      <c r="O15" t="s">
        <v>45</v>
      </c>
      <c r="P15" t="s">
        <v>47</v>
      </c>
      <c r="Q15" t="s">
        <v>1614</v>
      </c>
      <c r="R15" s="64" t="s">
        <v>307</v>
      </c>
      <c r="S15" s="65">
        <f>S14/S12*100</f>
        <v>5.1724137931034484</v>
      </c>
    </row>
    <row r="16" spans="1:19" s="8" customFormat="1" x14ac:dyDescent="0.3">
      <c r="A16" t="s">
        <v>53</v>
      </c>
      <c r="B16"/>
      <c r="C16" t="s">
        <v>301</v>
      </c>
      <c r="D16" t="s">
        <v>36</v>
      </c>
      <c r="E16" t="s">
        <v>37</v>
      </c>
      <c r="F16" t="s">
        <v>38</v>
      </c>
      <c r="G16" t="s">
        <v>39</v>
      </c>
      <c r="H16">
        <v>2023</v>
      </c>
      <c r="I16" t="s">
        <v>271</v>
      </c>
      <c r="J16"/>
      <c r="K16"/>
      <c r="L16"/>
      <c r="M16">
        <v>2023</v>
      </c>
      <c r="N16" s="20" t="s">
        <v>1618</v>
      </c>
      <c r="O16" t="s">
        <v>45</v>
      </c>
      <c r="P16" t="s">
        <v>46</v>
      </c>
      <c r="Q16" t="s">
        <v>1615</v>
      </c>
      <c r="R16" t="s">
        <v>302</v>
      </c>
      <c r="S16">
        <v>3</v>
      </c>
    </row>
    <row r="17" spans="1:20" s="8" customFormat="1" x14ac:dyDescent="0.3">
      <c r="A17" t="s">
        <v>53</v>
      </c>
      <c r="B17"/>
      <c r="C17" t="s">
        <v>301</v>
      </c>
      <c r="D17" t="s">
        <v>36</v>
      </c>
      <c r="E17" t="s">
        <v>37</v>
      </c>
      <c r="F17" t="s">
        <v>38</v>
      </c>
      <c r="G17" t="s">
        <v>39</v>
      </c>
      <c r="H17">
        <v>2023</v>
      </c>
      <c r="I17" t="s">
        <v>271</v>
      </c>
      <c r="J17"/>
      <c r="K17"/>
      <c r="L17"/>
      <c r="M17">
        <v>2023</v>
      </c>
      <c r="N17" s="20" t="s">
        <v>1618</v>
      </c>
      <c r="O17" t="s">
        <v>45</v>
      </c>
      <c r="P17" t="s">
        <v>46</v>
      </c>
      <c r="Q17" t="s">
        <v>1616</v>
      </c>
      <c r="R17" t="s">
        <v>303</v>
      </c>
      <c r="S17">
        <v>4</v>
      </c>
    </row>
    <row r="18" spans="1:20" s="8" customFormat="1" x14ac:dyDescent="0.3">
      <c r="A18" t="s">
        <v>53</v>
      </c>
      <c r="B18"/>
      <c r="C18" t="s">
        <v>301</v>
      </c>
      <c r="D18" t="s">
        <v>36</v>
      </c>
      <c r="E18" t="s">
        <v>37</v>
      </c>
      <c r="F18" t="s">
        <v>38</v>
      </c>
      <c r="G18" t="s">
        <v>39</v>
      </c>
      <c r="H18">
        <v>2023</v>
      </c>
      <c r="I18" t="s">
        <v>271</v>
      </c>
      <c r="J18" s="64"/>
      <c r="K18" s="64"/>
      <c r="L18" s="64"/>
      <c r="M18">
        <v>2023</v>
      </c>
      <c r="N18" s="64"/>
      <c r="O18" t="s">
        <v>45</v>
      </c>
      <c r="P18" t="s">
        <v>47</v>
      </c>
      <c r="Q18" t="s">
        <v>288</v>
      </c>
      <c r="R18" s="64" t="s">
        <v>304</v>
      </c>
      <c r="S18" s="64">
        <f>S16/S17*100</f>
        <v>75</v>
      </c>
    </row>
    <row r="19" spans="1:20" s="8" customFormat="1" x14ac:dyDescent="0.3">
      <c r="A19" t="s">
        <v>53</v>
      </c>
      <c r="B19"/>
      <c r="C19" t="s">
        <v>308</v>
      </c>
      <c r="D19" t="s">
        <v>36</v>
      </c>
      <c r="E19" t="s">
        <v>37</v>
      </c>
      <c r="F19" t="s">
        <v>38</v>
      </c>
      <c r="G19" t="s">
        <v>39</v>
      </c>
      <c r="H19">
        <v>2023</v>
      </c>
      <c r="I19" t="s">
        <v>271</v>
      </c>
      <c r="J19"/>
      <c r="K19"/>
      <c r="L19"/>
      <c r="M19">
        <v>2023</v>
      </c>
      <c r="N19" s="20" t="s">
        <v>1619</v>
      </c>
      <c r="O19" t="s">
        <v>56</v>
      </c>
      <c r="P19"/>
      <c r="Q19"/>
      <c r="R19" t="s">
        <v>310</v>
      </c>
      <c r="S19" t="s">
        <v>309</v>
      </c>
    </row>
    <row r="20" spans="1:20" s="8" customFormat="1" x14ac:dyDescent="0.3">
      <c r="A20" t="s">
        <v>53</v>
      </c>
      <c r="B20"/>
      <c r="C20" t="s">
        <v>308</v>
      </c>
      <c r="D20" t="s">
        <v>36</v>
      </c>
      <c r="E20" t="s">
        <v>37</v>
      </c>
      <c r="F20" t="s">
        <v>38</v>
      </c>
      <c r="G20" t="s">
        <v>39</v>
      </c>
      <c r="H20">
        <v>2023</v>
      </c>
      <c r="I20" t="s">
        <v>271</v>
      </c>
      <c r="J20"/>
      <c r="K20"/>
      <c r="L20"/>
      <c r="M20">
        <v>2023</v>
      </c>
      <c r="N20" s="20" t="s">
        <v>1619</v>
      </c>
      <c r="O20" t="s">
        <v>45</v>
      </c>
      <c r="P20"/>
      <c r="Q20" t="s">
        <v>1237</v>
      </c>
      <c r="R20" t="s">
        <v>312</v>
      </c>
      <c r="S20">
        <v>0</v>
      </c>
    </row>
    <row r="21" spans="1:20" s="8" customFormat="1" x14ac:dyDescent="0.3">
      <c r="A21" t="s">
        <v>53</v>
      </c>
      <c r="B21"/>
      <c r="C21" t="s">
        <v>308</v>
      </c>
      <c r="D21" t="s">
        <v>36</v>
      </c>
      <c r="E21" t="s">
        <v>37</v>
      </c>
      <c r="F21" t="s">
        <v>38</v>
      </c>
      <c r="G21" t="s">
        <v>39</v>
      </c>
      <c r="H21">
        <v>2023</v>
      </c>
      <c r="I21" t="s">
        <v>271</v>
      </c>
      <c r="J21"/>
      <c r="K21"/>
      <c r="L21"/>
      <c r="M21">
        <v>2023</v>
      </c>
      <c r="N21" s="20" t="s">
        <v>1619</v>
      </c>
      <c r="O21" t="s">
        <v>45</v>
      </c>
      <c r="P21"/>
      <c r="Q21" t="s">
        <v>1238</v>
      </c>
      <c r="R21" t="s">
        <v>311</v>
      </c>
      <c r="S21" s="15">
        <v>2</v>
      </c>
    </row>
    <row r="22" spans="1:20" s="8" customFormat="1" x14ac:dyDescent="0.3">
      <c r="A22" t="s">
        <v>53</v>
      </c>
      <c r="B22"/>
      <c r="C22" t="s">
        <v>308</v>
      </c>
      <c r="D22" t="s">
        <v>36</v>
      </c>
      <c r="E22" t="s">
        <v>37</v>
      </c>
      <c r="F22" t="s">
        <v>38</v>
      </c>
      <c r="G22" t="s">
        <v>39</v>
      </c>
      <c r="H22">
        <v>2023</v>
      </c>
      <c r="I22" t="s">
        <v>271</v>
      </c>
      <c r="J22" s="64"/>
      <c r="K22" s="64"/>
      <c r="L22" s="64"/>
      <c r="M22">
        <v>2023</v>
      </c>
      <c r="N22" s="64"/>
      <c r="O22" t="s">
        <v>45</v>
      </c>
      <c r="P22" t="s">
        <v>47</v>
      </c>
      <c r="Q22" t="s">
        <v>1239</v>
      </c>
      <c r="R22" s="64" t="s">
        <v>313</v>
      </c>
      <c r="S22" s="64">
        <f>S20/S21*100</f>
        <v>0</v>
      </c>
    </row>
    <row r="23" spans="1:20" s="8" customFormat="1" x14ac:dyDescent="0.3">
      <c r="A23" t="s">
        <v>53</v>
      </c>
      <c r="B23"/>
      <c r="C23" t="s">
        <v>315</v>
      </c>
      <c r="D23" t="s">
        <v>36</v>
      </c>
      <c r="E23" t="s">
        <v>37</v>
      </c>
      <c r="F23" t="s">
        <v>38</v>
      </c>
      <c r="G23" t="s">
        <v>39</v>
      </c>
      <c r="H23">
        <v>2023</v>
      </c>
      <c r="I23" t="s">
        <v>271</v>
      </c>
      <c r="J23"/>
      <c r="K23"/>
      <c r="L23"/>
      <c r="M23">
        <v>2023</v>
      </c>
      <c r="N23"/>
      <c r="O23" t="s">
        <v>45</v>
      </c>
      <c r="P23"/>
      <c r="Q23" t="s">
        <v>1240</v>
      </c>
      <c r="R23" t="s">
        <v>316</v>
      </c>
      <c r="S23">
        <v>4</v>
      </c>
    </row>
    <row r="24" spans="1:20" s="8" customFormat="1" x14ac:dyDescent="0.3">
      <c r="A24" t="s">
        <v>53</v>
      </c>
      <c r="B24"/>
      <c r="C24" t="s">
        <v>315</v>
      </c>
      <c r="D24" t="s">
        <v>36</v>
      </c>
      <c r="E24" t="s">
        <v>37</v>
      </c>
      <c r="F24" t="s">
        <v>38</v>
      </c>
      <c r="G24" t="s">
        <v>39</v>
      </c>
      <c r="H24">
        <v>2023</v>
      </c>
      <c r="I24" t="s">
        <v>271</v>
      </c>
      <c r="J24" s="7"/>
      <c r="K24" s="7"/>
      <c r="L24"/>
      <c r="M24">
        <v>2023</v>
      </c>
      <c r="N24" s="7"/>
      <c r="O24" t="s">
        <v>45</v>
      </c>
      <c r="P24" s="9"/>
      <c r="Q24" s="9"/>
      <c r="R24" t="s">
        <v>317</v>
      </c>
      <c r="S24" s="67">
        <v>5</v>
      </c>
    </row>
    <row r="25" spans="1:20" s="8" customFormat="1" x14ac:dyDescent="0.3">
      <c r="A25" t="s">
        <v>53</v>
      </c>
      <c r="B25"/>
      <c r="C25" t="s">
        <v>315</v>
      </c>
      <c r="D25" t="s">
        <v>36</v>
      </c>
      <c r="E25" t="s">
        <v>37</v>
      </c>
      <c r="F25" t="s">
        <v>38</v>
      </c>
      <c r="G25" t="s">
        <v>39</v>
      </c>
      <c r="H25">
        <v>2023</v>
      </c>
      <c r="I25" t="s">
        <v>271</v>
      </c>
      <c r="J25" s="68"/>
      <c r="K25" s="68"/>
      <c r="L25" s="64"/>
      <c r="M25">
        <v>2023</v>
      </c>
      <c r="N25" s="68"/>
      <c r="O25" t="s">
        <v>45</v>
      </c>
      <c r="P25" s="9"/>
      <c r="Q25" t="s">
        <v>1241</v>
      </c>
      <c r="R25" s="68" t="s">
        <v>318</v>
      </c>
      <c r="S25" s="70">
        <f>S23/S24*100</f>
        <v>80</v>
      </c>
    </row>
    <row r="26" spans="1:20" s="8" customFormat="1" x14ac:dyDescent="0.3">
      <c r="A26" s="7" t="s">
        <v>321</v>
      </c>
      <c r="B26" s="7"/>
      <c r="C26" s="8" t="s">
        <v>322</v>
      </c>
      <c r="D26" t="s">
        <v>36</v>
      </c>
      <c r="E26" t="s">
        <v>37</v>
      </c>
      <c r="F26" t="s">
        <v>38</v>
      </c>
      <c r="G26" t="s">
        <v>39</v>
      </c>
      <c r="H26">
        <v>2023</v>
      </c>
      <c r="I26" t="s">
        <v>271</v>
      </c>
      <c r="J26" s="7"/>
      <c r="K26" s="7"/>
      <c r="L26" s="64"/>
      <c r="M26">
        <v>2023</v>
      </c>
      <c r="N26" s="7"/>
      <c r="O26" t="s">
        <v>45</v>
      </c>
      <c r="P26" s="9"/>
      <c r="Q26" t="s">
        <v>1242</v>
      </c>
      <c r="R26" s="7" t="s">
        <v>323</v>
      </c>
      <c r="S26" s="66">
        <v>82.4</v>
      </c>
      <c r="T26" s="8">
        <v>88.6</v>
      </c>
    </row>
    <row r="27" spans="1:20" s="8" customFormat="1" x14ac:dyDescent="0.3">
      <c r="A27" s="7" t="s">
        <v>321</v>
      </c>
      <c r="B27" s="7"/>
      <c r="C27" s="8" t="s">
        <v>322</v>
      </c>
      <c r="D27" t="s">
        <v>36</v>
      </c>
      <c r="E27" t="s">
        <v>37</v>
      </c>
      <c r="F27" t="s">
        <v>38</v>
      </c>
      <c r="G27" t="s">
        <v>39</v>
      </c>
      <c r="H27">
        <v>2023</v>
      </c>
      <c r="I27" t="s">
        <v>271</v>
      </c>
      <c r="J27" s="7"/>
      <c r="K27" s="7"/>
      <c r="L27" s="64"/>
      <c r="M27">
        <v>2023</v>
      </c>
      <c r="N27" s="7"/>
      <c r="O27" t="s">
        <v>45</v>
      </c>
      <c r="P27" s="9"/>
      <c r="Q27" t="s">
        <v>1243</v>
      </c>
      <c r="R27" s="7" t="s">
        <v>324</v>
      </c>
      <c r="S27" s="66">
        <v>21</v>
      </c>
    </row>
    <row r="28" spans="1:20" s="8" customFormat="1" x14ac:dyDescent="0.3">
      <c r="A28" s="7" t="s">
        <v>321</v>
      </c>
      <c r="B28" s="7"/>
      <c r="C28" s="8" t="s">
        <v>322</v>
      </c>
      <c r="D28" t="s">
        <v>36</v>
      </c>
      <c r="E28" t="s">
        <v>37</v>
      </c>
      <c r="F28" t="s">
        <v>38</v>
      </c>
      <c r="G28" t="s">
        <v>39</v>
      </c>
      <c r="H28">
        <v>2023</v>
      </c>
      <c r="I28" t="s">
        <v>271</v>
      </c>
      <c r="J28" s="7"/>
      <c r="K28" s="7"/>
      <c r="L28" s="64"/>
      <c r="M28">
        <v>2023</v>
      </c>
      <c r="N28" s="7"/>
      <c r="O28" t="s">
        <v>45</v>
      </c>
      <c r="P28" s="9"/>
      <c r="Q28" t="s">
        <v>1244</v>
      </c>
      <c r="R28" s="7" t="s">
        <v>325</v>
      </c>
      <c r="S28" s="66">
        <v>100</v>
      </c>
    </row>
    <row r="29" spans="1:20" s="8" customFormat="1" x14ac:dyDescent="0.3">
      <c r="A29" s="7" t="s">
        <v>321</v>
      </c>
      <c r="B29" s="7"/>
      <c r="C29" s="8" t="s">
        <v>322</v>
      </c>
      <c r="D29" t="s">
        <v>36</v>
      </c>
      <c r="E29" t="s">
        <v>37</v>
      </c>
      <c r="F29" t="s">
        <v>38</v>
      </c>
      <c r="G29" t="s">
        <v>39</v>
      </c>
      <c r="H29">
        <v>2023</v>
      </c>
      <c r="I29" t="s">
        <v>271</v>
      </c>
      <c r="J29" s="68"/>
      <c r="K29" s="68"/>
      <c r="L29" s="64"/>
      <c r="M29">
        <v>2023</v>
      </c>
      <c r="N29" s="68"/>
      <c r="O29" t="s">
        <v>45</v>
      </c>
      <c r="P29" s="9"/>
      <c r="Q29" t="s">
        <v>1244</v>
      </c>
      <c r="R29" s="68" t="s">
        <v>326</v>
      </c>
      <c r="S29" s="70">
        <f>S26*S27/S28</f>
        <v>17.304000000000002</v>
      </c>
    </row>
    <row r="30" spans="1:20" s="8" customFormat="1" x14ac:dyDescent="0.3">
      <c r="A30" s="7" t="s">
        <v>321</v>
      </c>
      <c r="B30" s="7"/>
      <c r="C30" s="7" t="s">
        <v>329</v>
      </c>
      <c r="D30" t="s">
        <v>36</v>
      </c>
      <c r="E30" t="s">
        <v>37</v>
      </c>
      <c r="F30" t="s">
        <v>38</v>
      </c>
      <c r="G30" t="s">
        <v>39</v>
      </c>
      <c r="H30">
        <v>2023</v>
      </c>
      <c r="I30" t="s">
        <v>271</v>
      </c>
      <c r="J30" s="7"/>
      <c r="K30" s="7"/>
      <c r="L30" s="64"/>
      <c r="M30">
        <v>2023</v>
      </c>
      <c r="N30" s="7"/>
      <c r="O30" t="s">
        <v>45</v>
      </c>
      <c r="P30" s="9"/>
      <c r="Q30" t="s">
        <v>1245</v>
      </c>
      <c r="R30" s="7" t="s">
        <v>330</v>
      </c>
      <c r="S30" s="66" t="s">
        <v>332</v>
      </c>
    </row>
    <row r="31" spans="1:20" s="8" customFormat="1" x14ac:dyDescent="0.3">
      <c r="A31" s="7" t="s">
        <v>321</v>
      </c>
      <c r="B31" s="7"/>
      <c r="C31" s="7" t="s">
        <v>329</v>
      </c>
      <c r="D31" t="s">
        <v>36</v>
      </c>
      <c r="E31" t="s">
        <v>37</v>
      </c>
      <c r="F31" t="s">
        <v>38</v>
      </c>
      <c r="G31" t="s">
        <v>39</v>
      </c>
      <c r="H31">
        <v>2023</v>
      </c>
      <c r="I31" t="s">
        <v>271</v>
      </c>
      <c r="J31" s="7"/>
      <c r="K31" s="7"/>
      <c r="L31" s="64"/>
      <c r="M31">
        <v>2023</v>
      </c>
      <c r="N31" s="7"/>
      <c r="O31" t="s">
        <v>45</v>
      </c>
      <c r="P31" s="9"/>
      <c r="Q31" s="9"/>
      <c r="R31" s="7" t="s">
        <v>331</v>
      </c>
      <c r="S31" s="66">
        <v>0</v>
      </c>
    </row>
    <row r="32" spans="1:20" s="8" customFormat="1" x14ac:dyDescent="0.3">
      <c r="A32" s="7" t="s">
        <v>321</v>
      </c>
      <c r="B32" s="7"/>
      <c r="C32" s="7" t="s">
        <v>335</v>
      </c>
      <c r="D32" t="s">
        <v>36</v>
      </c>
      <c r="E32" t="s">
        <v>37</v>
      </c>
      <c r="F32" t="s">
        <v>38</v>
      </c>
      <c r="G32" t="s">
        <v>39</v>
      </c>
      <c r="H32">
        <v>2023</v>
      </c>
      <c r="I32" t="s">
        <v>271</v>
      </c>
      <c r="J32" s="7"/>
      <c r="K32" s="7"/>
      <c r="L32" s="64"/>
      <c r="M32">
        <v>2023</v>
      </c>
      <c r="N32" s="7"/>
      <c r="O32" t="s">
        <v>45</v>
      </c>
      <c r="P32" s="9"/>
      <c r="Q32" t="s">
        <v>1246</v>
      </c>
      <c r="R32" s="7" t="s">
        <v>338</v>
      </c>
      <c r="S32" s="66">
        <v>4</v>
      </c>
    </row>
    <row r="33" spans="1:19" s="8" customFormat="1" x14ac:dyDescent="0.3">
      <c r="A33" s="7" t="s">
        <v>321</v>
      </c>
      <c r="B33" s="7"/>
      <c r="C33" s="7" t="s">
        <v>335</v>
      </c>
      <c r="D33" t="s">
        <v>36</v>
      </c>
      <c r="E33" t="s">
        <v>37</v>
      </c>
      <c r="F33" t="s">
        <v>38</v>
      </c>
      <c r="G33" t="s">
        <v>39</v>
      </c>
      <c r="H33">
        <v>2023</v>
      </c>
      <c r="I33" t="s">
        <v>271</v>
      </c>
      <c r="J33" s="7"/>
      <c r="K33" s="7"/>
      <c r="L33" s="64"/>
      <c r="M33">
        <v>2023</v>
      </c>
      <c r="N33" s="7"/>
      <c r="O33" t="s">
        <v>45</v>
      </c>
      <c r="P33" s="9"/>
      <c r="Q33" t="s">
        <v>1247</v>
      </c>
      <c r="R33" s="7" t="s">
        <v>337</v>
      </c>
      <c r="S33" s="66">
        <v>27</v>
      </c>
    </row>
    <row r="34" spans="1:19" s="8" customFormat="1" x14ac:dyDescent="0.3">
      <c r="A34" s="7" t="s">
        <v>321</v>
      </c>
      <c r="B34" s="7"/>
      <c r="C34" s="7" t="s">
        <v>335</v>
      </c>
      <c r="D34" t="s">
        <v>36</v>
      </c>
      <c r="E34" t="s">
        <v>37</v>
      </c>
      <c r="F34" t="s">
        <v>38</v>
      </c>
      <c r="G34" t="s">
        <v>39</v>
      </c>
      <c r="H34">
        <v>2023</v>
      </c>
      <c r="I34" t="s">
        <v>271</v>
      </c>
      <c r="J34" s="68"/>
      <c r="K34" s="68"/>
      <c r="L34" s="64"/>
      <c r="M34">
        <v>2023</v>
      </c>
      <c r="N34" s="68"/>
      <c r="O34" t="s">
        <v>45</v>
      </c>
      <c r="P34" s="9"/>
      <c r="Q34" t="s">
        <v>1248</v>
      </c>
      <c r="R34" s="68" t="s">
        <v>339</v>
      </c>
      <c r="S34" s="70">
        <f>S32/S33*100</f>
        <v>14.814814814814813</v>
      </c>
    </row>
    <row r="35" spans="1:19" s="7" customFormat="1" x14ac:dyDescent="0.3">
      <c r="A35" t="s">
        <v>58</v>
      </c>
      <c r="B35"/>
      <c r="C35" t="s">
        <v>59</v>
      </c>
      <c r="D35" t="s">
        <v>36</v>
      </c>
      <c r="E35" t="s">
        <v>37</v>
      </c>
      <c r="F35" t="s">
        <v>38</v>
      </c>
      <c r="G35" t="s">
        <v>39</v>
      </c>
      <c r="H35">
        <v>2023</v>
      </c>
      <c r="I35" t="s">
        <v>271</v>
      </c>
      <c r="J35"/>
      <c r="K35"/>
      <c r="L35"/>
      <c r="M35">
        <v>2023</v>
      </c>
      <c r="N35"/>
      <c r="O35" t="s">
        <v>45</v>
      </c>
      <c r="P35" t="s">
        <v>46</v>
      </c>
      <c r="Q35" t="s">
        <v>1249</v>
      </c>
      <c r="R35" t="s">
        <v>60</v>
      </c>
      <c r="S35">
        <v>17036</v>
      </c>
    </row>
    <row r="36" spans="1:19" s="7" customFormat="1" x14ac:dyDescent="0.3">
      <c r="A36" t="s">
        <v>58</v>
      </c>
      <c r="B36"/>
      <c r="C36" t="s">
        <v>59</v>
      </c>
      <c r="D36" t="s">
        <v>36</v>
      </c>
      <c r="E36" t="s">
        <v>37</v>
      </c>
      <c r="F36" t="s">
        <v>38</v>
      </c>
      <c r="G36" t="s">
        <v>39</v>
      </c>
      <c r="H36">
        <v>2023</v>
      </c>
      <c r="I36" t="s">
        <v>271</v>
      </c>
      <c r="J36"/>
      <c r="K36"/>
      <c r="L36"/>
      <c r="M36">
        <v>2023</v>
      </c>
      <c r="N36"/>
      <c r="O36" t="s">
        <v>45</v>
      </c>
      <c r="P36" t="s">
        <v>46</v>
      </c>
      <c r="Q36" t="s">
        <v>1250</v>
      </c>
      <c r="R36" t="s">
        <v>61</v>
      </c>
      <c r="S36">
        <v>7683</v>
      </c>
    </row>
    <row r="37" spans="1:19" s="7" customFormat="1" x14ac:dyDescent="0.3">
      <c r="A37" t="s">
        <v>58</v>
      </c>
      <c r="B37"/>
      <c r="C37" t="s">
        <v>59</v>
      </c>
      <c r="D37" t="s">
        <v>36</v>
      </c>
      <c r="E37" t="s">
        <v>37</v>
      </c>
      <c r="F37" t="s">
        <v>38</v>
      </c>
      <c r="G37" t="s">
        <v>39</v>
      </c>
      <c r="H37">
        <v>2023</v>
      </c>
      <c r="I37" t="s">
        <v>271</v>
      </c>
      <c r="J37"/>
      <c r="K37"/>
      <c r="L37"/>
      <c r="M37">
        <v>2023</v>
      </c>
      <c r="N37"/>
      <c r="O37" t="s">
        <v>45</v>
      </c>
      <c r="P37" t="s">
        <v>46</v>
      </c>
      <c r="Q37" t="s">
        <v>1251</v>
      </c>
      <c r="R37" t="s">
        <v>62</v>
      </c>
      <c r="S37">
        <v>9657</v>
      </c>
    </row>
    <row r="38" spans="1:19" s="7" customFormat="1" x14ac:dyDescent="0.3">
      <c r="A38" t="s">
        <v>58</v>
      </c>
      <c r="B38"/>
      <c r="C38" t="s">
        <v>59</v>
      </c>
      <c r="D38" t="s">
        <v>36</v>
      </c>
      <c r="E38" t="s">
        <v>37</v>
      </c>
      <c r="F38" t="s">
        <v>38</v>
      </c>
      <c r="G38" t="s">
        <v>39</v>
      </c>
      <c r="H38">
        <v>2023</v>
      </c>
      <c r="I38" t="s">
        <v>271</v>
      </c>
      <c r="J38"/>
      <c r="K38"/>
      <c r="L38"/>
      <c r="M38">
        <v>2023</v>
      </c>
      <c r="N38"/>
      <c r="O38" t="s">
        <v>45</v>
      </c>
      <c r="P38" t="s">
        <v>46</v>
      </c>
      <c r="Q38" t="s">
        <v>1252</v>
      </c>
      <c r="R38" t="s">
        <v>63</v>
      </c>
      <c r="S38">
        <v>12447</v>
      </c>
    </row>
    <row r="39" spans="1:19" s="7" customFormat="1" ht="24.6" customHeight="1" x14ac:dyDescent="0.3">
      <c r="A39" t="s">
        <v>58</v>
      </c>
      <c r="B39"/>
      <c r="C39" t="s">
        <v>59</v>
      </c>
      <c r="D39" t="s">
        <v>36</v>
      </c>
      <c r="E39" t="s">
        <v>37</v>
      </c>
      <c r="F39" t="s">
        <v>38</v>
      </c>
      <c r="G39" t="s">
        <v>39</v>
      </c>
      <c r="H39">
        <v>2023</v>
      </c>
      <c r="I39" t="s">
        <v>271</v>
      </c>
      <c r="J39"/>
      <c r="K39"/>
      <c r="L39"/>
      <c r="M39">
        <v>2023</v>
      </c>
      <c r="N39"/>
      <c r="O39" t="s">
        <v>45</v>
      </c>
      <c r="P39" t="s">
        <v>46</v>
      </c>
      <c r="Q39" t="s">
        <v>1253</v>
      </c>
      <c r="R39" t="s">
        <v>64</v>
      </c>
      <c r="S39">
        <v>579</v>
      </c>
    </row>
    <row r="40" spans="1:19" s="7" customFormat="1" ht="24.6" customHeight="1" x14ac:dyDescent="0.3">
      <c r="A40" t="s">
        <v>58</v>
      </c>
      <c r="B40"/>
      <c r="C40" t="s">
        <v>59</v>
      </c>
      <c r="D40" t="s">
        <v>36</v>
      </c>
      <c r="E40" t="s">
        <v>37</v>
      </c>
      <c r="F40" t="s">
        <v>38</v>
      </c>
      <c r="G40" t="s">
        <v>39</v>
      </c>
      <c r="H40">
        <v>2023</v>
      </c>
      <c r="I40" t="s">
        <v>271</v>
      </c>
      <c r="J40" s="64"/>
      <c r="K40" s="64"/>
      <c r="L40" s="64"/>
      <c r="M40">
        <v>2023</v>
      </c>
      <c r="N40" s="64"/>
      <c r="O40" t="s">
        <v>45</v>
      </c>
      <c r="P40" t="s">
        <v>46</v>
      </c>
      <c r="Q40" s="64"/>
      <c r="R40" s="64" t="s">
        <v>65</v>
      </c>
      <c r="S40" s="64">
        <f>SUM(S35:S39)</f>
        <v>47402</v>
      </c>
    </row>
    <row r="41" spans="1:19" s="7" customFormat="1" x14ac:dyDescent="0.3">
      <c r="A41" t="s">
        <v>58</v>
      </c>
      <c r="B41"/>
      <c r="C41" t="s">
        <v>59</v>
      </c>
      <c r="D41" t="s">
        <v>36</v>
      </c>
      <c r="E41" t="s">
        <v>37</v>
      </c>
      <c r="F41" t="s">
        <v>38</v>
      </c>
      <c r="G41" t="s">
        <v>39</v>
      </c>
      <c r="H41">
        <v>2023</v>
      </c>
      <c r="I41" t="s">
        <v>271</v>
      </c>
      <c r="J41"/>
      <c r="K41"/>
      <c r="L41"/>
      <c r="M41">
        <v>2023</v>
      </c>
      <c r="N41"/>
      <c r="O41" t="s">
        <v>45</v>
      </c>
      <c r="P41" t="s">
        <v>47</v>
      </c>
      <c r="Q41"/>
      <c r="R41" t="s">
        <v>66</v>
      </c>
      <c r="S41">
        <v>0.7</v>
      </c>
    </row>
    <row r="42" spans="1:19" s="7" customFormat="1" x14ac:dyDescent="0.3">
      <c r="A42" t="s">
        <v>58</v>
      </c>
      <c r="B42"/>
      <c r="C42" t="s">
        <v>59</v>
      </c>
      <c r="D42" t="s">
        <v>36</v>
      </c>
      <c r="E42" t="s">
        <v>37</v>
      </c>
      <c r="F42" t="s">
        <v>38</v>
      </c>
      <c r="G42" t="s">
        <v>39</v>
      </c>
      <c r="H42">
        <v>2023</v>
      </c>
      <c r="I42" t="s">
        <v>271</v>
      </c>
      <c r="J42"/>
      <c r="K42"/>
      <c r="L42"/>
      <c r="M42">
        <v>2023</v>
      </c>
      <c r="N42"/>
      <c r="O42" t="s">
        <v>45</v>
      </c>
      <c r="P42" t="s">
        <v>47</v>
      </c>
      <c r="Q42" t="s">
        <v>1254</v>
      </c>
      <c r="R42" t="s">
        <v>67</v>
      </c>
      <c r="S42">
        <v>1</v>
      </c>
    </row>
    <row r="43" spans="1:19" s="7" customFormat="1" x14ac:dyDescent="0.3">
      <c r="A43" t="s">
        <v>58</v>
      </c>
      <c r="B43"/>
      <c r="C43" t="s">
        <v>59</v>
      </c>
      <c r="D43" t="s">
        <v>36</v>
      </c>
      <c r="E43" t="s">
        <v>37</v>
      </c>
      <c r="F43" t="s">
        <v>38</v>
      </c>
      <c r="G43" t="s">
        <v>39</v>
      </c>
      <c r="H43">
        <v>2023</v>
      </c>
      <c r="I43" t="s">
        <v>271</v>
      </c>
      <c r="J43"/>
      <c r="K43"/>
      <c r="L43"/>
      <c r="M43">
        <v>2023</v>
      </c>
      <c r="N43"/>
      <c r="O43" t="s">
        <v>45</v>
      </c>
      <c r="P43" t="s">
        <v>47</v>
      </c>
      <c r="Q43"/>
      <c r="R43" t="s">
        <v>68</v>
      </c>
      <c r="S43">
        <v>0.8</v>
      </c>
    </row>
    <row r="44" spans="1:19" s="7" customFormat="1" x14ac:dyDescent="0.3">
      <c r="A44" t="s">
        <v>58</v>
      </c>
      <c r="B44"/>
      <c r="C44" t="s">
        <v>59</v>
      </c>
      <c r="D44" t="s">
        <v>36</v>
      </c>
      <c r="E44" t="s">
        <v>37</v>
      </c>
      <c r="F44" t="s">
        <v>38</v>
      </c>
      <c r="G44" t="s">
        <v>39</v>
      </c>
      <c r="H44">
        <v>2023</v>
      </c>
      <c r="I44" t="s">
        <v>271</v>
      </c>
      <c r="J44"/>
      <c r="K44"/>
      <c r="L44"/>
      <c r="M44">
        <v>2023</v>
      </c>
      <c r="N44"/>
      <c r="O44" t="s">
        <v>45</v>
      </c>
      <c r="P44" t="s">
        <v>47</v>
      </c>
      <c r="Q44" t="s">
        <v>1255</v>
      </c>
      <c r="R44" t="s">
        <v>69</v>
      </c>
      <c r="S44">
        <v>1</v>
      </c>
    </row>
    <row r="45" spans="1:19" s="7" customFormat="1" ht="26.4" customHeight="1" x14ac:dyDescent="0.3">
      <c r="A45" t="s">
        <v>58</v>
      </c>
      <c r="B45"/>
      <c r="C45" t="s">
        <v>59</v>
      </c>
      <c r="D45" t="s">
        <v>36</v>
      </c>
      <c r="E45" t="s">
        <v>37</v>
      </c>
      <c r="F45" t="s">
        <v>38</v>
      </c>
      <c r="G45" t="s">
        <v>39</v>
      </c>
      <c r="H45">
        <v>2023</v>
      </c>
      <c r="I45" t="s">
        <v>271</v>
      </c>
      <c r="J45"/>
      <c r="K45"/>
      <c r="L45"/>
      <c r="M45">
        <v>2023</v>
      </c>
      <c r="N45"/>
      <c r="O45" t="s">
        <v>45</v>
      </c>
      <c r="P45" t="s">
        <v>47</v>
      </c>
      <c r="Q45" t="s">
        <v>1253</v>
      </c>
      <c r="R45" t="s">
        <v>70</v>
      </c>
      <c r="S45">
        <v>0.8</v>
      </c>
    </row>
    <row r="46" spans="1:19" s="7" customFormat="1" x14ac:dyDescent="0.3">
      <c r="A46" t="s">
        <v>58</v>
      </c>
      <c r="B46"/>
      <c r="C46" t="s">
        <v>71</v>
      </c>
      <c r="D46" t="s">
        <v>36</v>
      </c>
      <c r="E46" t="s">
        <v>37</v>
      </c>
      <c r="F46" t="s">
        <v>38</v>
      </c>
      <c r="G46" t="s">
        <v>39</v>
      </c>
      <c r="H46">
        <v>2023</v>
      </c>
      <c r="I46" t="s">
        <v>271</v>
      </c>
      <c r="J46"/>
      <c r="K46"/>
      <c r="L46"/>
      <c r="M46">
        <v>2023</v>
      </c>
      <c r="N46"/>
      <c r="O46" t="s">
        <v>45</v>
      </c>
      <c r="P46" t="s">
        <v>46</v>
      </c>
      <c r="Q46"/>
      <c r="R46" t="s">
        <v>72</v>
      </c>
      <c r="S46">
        <v>45</v>
      </c>
    </row>
    <row r="47" spans="1:19" s="7" customFormat="1" x14ac:dyDescent="0.3">
      <c r="A47" t="s">
        <v>58</v>
      </c>
      <c r="B47"/>
      <c r="C47" t="s">
        <v>71</v>
      </c>
      <c r="D47" t="s">
        <v>36</v>
      </c>
      <c r="E47" t="s">
        <v>37</v>
      </c>
      <c r="F47" t="s">
        <v>38</v>
      </c>
      <c r="G47" t="s">
        <v>39</v>
      </c>
      <c r="H47">
        <v>2023</v>
      </c>
      <c r="I47" t="s">
        <v>271</v>
      </c>
      <c r="J47"/>
      <c r="K47"/>
      <c r="L47"/>
      <c r="M47">
        <v>2023</v>
      </c>
      <c r="N47"/>
      <c r="O47" t="s">
        <v>45</v>
      </c>
      <c r="P47" t="s">
        <v>46</v>
      </c>
      <c r="Q47"/>
      <c r="R47" t="s">
        <v>73</v>
      </c>
      <c r="S47">
        <v>28</v>
      </c>
    </row>
    <row r="48" spans="1:19" s="7" customFormat="1" x14ac:dyDescent="0.3">
      <c r="A48" t="s">
        <v>58</v>
      </c>
      <c r="B48"/>
      <c r="C48" t="s">
        <v>71</v>
      </c>
      <c r="D48" t="s">
        <v>36</v>
      </c>
      <c r="E48" t="s">
        <v>37</v>
      </c>
      <c r="F48" t="s">
        <v>38</v>
      </c>
      <c r="G48" t="s">
        <v>39</v>
      </c>
      <c r="H48">
        <v>2023</v>
      </c>
      <c r="I48" t="s">
        <v>271</v>
      </c>
      <c r="J48"/>
      <c r="K48"/>
      <c r="L48"/>
      <c r="M48">
        <v>2023</v>
      </c>
      <c r="N48"/>
      <c r="O48" t="s">
        <v>45</v>
      </c>
      <c r="P48" t="s">
        <v>46</v>
      </c>
      <c r="Q48" t="s">
        <v>1256</v>
      </c>
      <c r="R48" t="s">
        <v>74</v>
      </c>
      <c r="S48">
        <v>8</v>
      </c>
    </row>
    <row r="49" spans="1:19" s="7" customFormat="1" x14ac:dyDescent="0.3">
      <c r="A49" t="s">
        <v>58</v>
      </c>
      <c r="B49"/>
      <c r="C49" t="s">
        <v>71</v>
      </c>
      <c r="D49" t="s">
        <v>36</v>
      </c>
      <c r="E49" t="s">
        <v>37</v>
      </c>
      <c r="F49" t="s">
        <v>38</v>
      </c>
      <c r="G49" t="s">
        <v>39</v>
      </c>
      <c r="H49">
        <v>2023</v>
      </c>
      <c r="I49" t="s">
        <v>271</v>
      </c>
      <c r="J49"/>
      <c r="K49"/>
      <c r="L49"/>
      <c r="M49">
        <v>2023</v>
      </c>
      <c r="N49"/>
      <c r="O49" t="s">
        <v>45</v>
      </c>
      <c r="P49" t="s">
        <v>46</v>
      </c>
      <c r="Q49"/>
      <c r="R49" t="s">
        <v>75</v>
      </c>
      <c r="S49">
        <v>5.95</v>
      </c>
    </row>
    <row r="50" spans="1:19" s="7" customFormat="1" x14ac:dyDescent="0.3">
      <c r="A50" t="s">
        <v>58</v>
      </c>
      <c r="B50"/>
      <c r="C50" t="s">
        <v>71</v>
      </c>
      <c r="D50" t="s">
        <v>36</v>
      </c>
      <c r="E50" t="s">
        <v>37</v>
      </c>
      <c r="F50" t="s">
        <v>38</v>
      </c>
      <c r="G50" t="s">
        <v>39</v>
      </c>
      <c r="H50">
        <v>2023</v>
      </c>
      <c r="I50" t="s">
        <v>271</v>
      </c>
      <c r="J50"/>
      <c r="K50"/>
      <c r="L50"/>
      <c r="M50">
        <v>2023</v>
      </c>
      <c r="N50"/>
      <c r="O50" t="s">
        <v>45</v>
      </c>
      <c r="P50" t="s">
        <v>46</v>
      </c>
      <c r="Q50"/>
      <c r="R50" t="s">
        <v>76</v>
      </c>
      <c r="S50">
        <v>10</v>
      </c>
    </row>
    <row r="51" spans="1:19" s="7" customFormat="1" x14ac:dyDescent="0.3">
      <c r="A51" t="s">
        <v>58</v>
      </c>
      <c r="B51"/>
      <c r="C51" t="s">
        <v>71</v>
      </c>
      <c r="D51" t="s">
        <v>36</v>
      </c>
      <c r="E51" t="s">
        <v>37</v>
      </c>
      <c r="F51" t="s">
        <v>38</v>
      </c>
      <c r="G51" t="s">
        <v>39</v>
      </c>
      <c r="H51">
        <v>2023</v>
      </c>
      <c r="I51" t="s">
        <v>271</v>
      </c>
      <c r="J51"/>
      <c r="K51"/>
      <c r="L51"/>
      <c r="M51">
        <v>2023</v>
      </c>
      <c r="N51"/>
      <c r="O51" t="s">
        <v>45</v>
      </c>
      <c r="P51" t="s">
        <v>46</v>
      </c>
      <c r="Q51" t="s">
        <v>1257</v>
      </c>
      <c r="R51" t="s">
        <v>77</v>
      </c>
      <c r="S51">
        <v>13</v>
      </c>
    </row>
    <row r="52" spans="1:19" s="7" customFormat="1" x14ac:dyDescent="0.3">
      <c r="A52" t="s">
        <v>58</v>
      </c>
      <c r="B52"/>
      <c r="C52" t="s">
        <v>71</v>
      </c>
      <c r="D52" t="s">
        <v>36</v>
      </c>
      <c r="E52" t="s">
        <v>37</v>
      </c>
      <c r="F52" t="s">
        <v>38</v>
      </c>
      <c r="G52" t="s">
        <v>39</v>
      </c>
      <c r="H52">
        <v>2023</v>
      </c>
      <c r="I52" t="s">
        <v>271</v>
      </c>
      <c r="J52" s="64"/>
      <c r="K52" s="64"/>
      <c r="L52" s="64"/>
      <c r="M52">
        <v>2023</v>
      </c>
      <c r="N52" s="64"/>
      <c r="O52" t="s">
        <v>45</v>
      </c>
      <c r="P52" t="s">
        <v>46</v>
      </c>
      <c r="Q52" t="s">
        <v>1258</v>
      </c>
      <c r="R52" s="64" t="s">
        <v>78</v>
      </c>
      <c r="S52" s="64">
        <f>S46+S47+S48+S50+S51</f>
        <v>104</v>
      </c>
    </row>
    <row r="53" spans="1:19" s="7" customFormat="1" x14ac:dyDescent="0.3">
      <c r="A53" t="s">
        <v>58</v>
      </c>
      <c r="B53"/>
      <c r="C53" t="s">
        <v>71</v>
      </c>
      <c r="D53" t="s">
        <v>36</v>
      </c>
      <c r="E53" t="s">
        <v>37</v>
      </c>
      <c r="F53" t="s">
        <v>38</v>
      </c>
      <c r="G53" t="s">
        <v>39</v>
      </c>
      <c r="H53">
        <v>2023</v>
      </c>
      <c r="I53" t="s">
        <v>271</v>
      </c>
      <c r="J53"/>
      <c r="K53"/>
      <c r="L53"/>
      <c r="M53">
        <v>2023</v>
      </c>
      <c r="N53"/>
      <c r="O53" t="s">
        <v>45</v>
      </c>
      <c r="P53" t="s">
        <v>46</v>
      </c>
      <c r="Q53"/>
      <c r="R53" t="s">
        <v>79</v>
      </c>
      <c r="S53">
        <v>50</v>
      </c>
    </row>
    <row r="54" spans="1:19" s="7" customFormat="1" x14ac:dyDescent="0.3">
      <c r="A54" t="s">
        <v>58</v>
      </c>
      <c r="B54"/>
      <c r="C54" t="s">
        <v>71</v>
      </c>
      <c r="D54" t="s">
        <v>36</v>
      </c>
      <c r="E54" t="s">
        <v>37</v>
      </c>
      <c r="F54" t="s">
        <v>38</v>
      </c>
      <c r="G54" t="s">
        <v>39</v>
      </c>
      <c r="H54">
        <v>2023</v>
      </c>
      <c r="I54" t="s">
        <v>271</v>
      </c>
      <c r="J54"/>
      <c r="K54"/>
      <c r="L54"/>
      <c r="M54">
        <v>2023</v>
      </c>
      <c r="N54"/>
      <c r="O54" t="s">
        <v>45</v>
      </c>
      <c r="P54" t="s">
        <v>46</v>
      </c>
      <c r="Q54"/>
      <c r="R54" t="s">
        <v>80</v>
      </c>
      <c r="S54">
        <v>21</v>
      </c>
    </row>
    <row r="55" spans="1:19" s="7" customFormat="1" x14ac:dyDescent="0.3">
      <c r="A55" t="s">
        <v>58</v>
      </c>
      <c r="B55"/>
      <c r="C55" t="s">
        <v>71</v>
      </c>
      <c r="D55" t="s">
        <v>36</v>
      </c>
      <c r="E55" t="s">
        <v>37</v>
      </c>
      <c r="F55" t="s">
        <v>38</v>
      </c>
      <c r="G55" t="s">
        <v>39</v>
      </c>
      <c r="H55">
        <v>2023</v>
      </c>
      <c r="I55" t="s">
        <v>271</v>
      </c>
      <c r="J55"/>
      <c r="K55"/>
      <c r="L55"/>
      <c r="M55">
        <v>2023</v>
      </c>
      <c r="N55"/>
      <c r="O55" t="s">
        <v>45</v>
      </c>
      <c r="P55" t="s">
        <v>46</v>
      </c>
      <c r="Q55" t="s">
        <v>1256</v>
      </c>
      <c r="R55" t="s">
        <v>81</v>
      </c>
      <c r="S55">
        <v>6</v>
      </c>
    </row>
    <row r="56" spans="1:19" s="7" customFormat="1" x14ac:dyDescent="0.3">
      <c r="A56" t="s">
        <v>58</v>
      </c>
      <c r="B56"/>
      <c r="C56" t="s">
        <v>71</v>
      </c>
      <c r="D56" t="s">
        <v>36</v>
      </c>
      <c r="E56" t="s">
        <v>37</v>
      </c>
      <c r="F56" t="s">
        <v>38</v>
      </c>
      <c r="G56" t="s">
        <v>39</v>
      </c>
      <c r="H56">
        <v>2023</v>
      </c>
      <c r="I56" t="s">
        <v>271</v>
      </c>
      <c r="J56"/>
      <c r="K56"/>
      <c r="L56"/>
      <c r="M56">
        <v>2023</v>
      </c>
      <c r="N56"/>
      <c r="O56" t="s">
        <v>45</v>
      </c>
      <c r="P56" t="s">
        <v>46</v>
      </c>
      <c r="Q56"/>
      <c r="R56" t="s">
        <v>82</v>
      </c>
      <c r="S56">
        <v>14.79</v>
      </c>
    </row>
    <row r="57" spans="1:19" s="7" customFormat="1" x14ac:dyDescent="0.3">
      <c r="A57" t="s">
        <v>58</v>
      </c>
      <c r="B57"/>
      <c r="C57" t="s">
        <v>71</v>
      </c>
      <c r="D57" t="s">
        <v>36</v>
      </c>
      <c r="E57" t="s">
        <v>37</v>
      </c>
      <c r="F57" t="s">
        <v>38</v>
      </c>
      <c r="G57" t="s">
        <v>39</v>
      </c>
      <c r="H57">
        <v>2023</v>
      </c>
      <c r="I57" t="s">
        <v>271</v>
      </c>
      <c r="J57"/>
      <c r="K57"/>
      <c r="L57"/>
      <c r="M57">
        <v>2023</v>
      </c>
      <c r="N57"/>
      <c r="O57" t="s">
        <v>45</v>
      </c>
      <c r="P57" t="s">
        <v>46</v>
      </c>
      <c r="Q57"/>
      <c r="R57" t="s">
        <v>83</v>
      </c>
      <c r="S57">
        <v>8</v>
      </c>
    </row>
    <row r="58" spans="1:19" s="7" customFormat="1" x14ac:dyDescent="0.3">
      <c r="A58" t="s">
        <v>58</v>
      </c>
      <c r="B58"/>
      <c r="C58" t="s">
        <v>71</v>
      </c>
      <c r="D58" t="s">
        <v>36</v>
      </c>
      <c r="E58" t="s">
        <v>37</v>
      </c>
      <c r="F58" t="s">
        <v>38</v>
      </c>
      <c r="G58" t="s">
        <v>39</v>
      </c>
      <c r="H58">
        <v>2023</v>
      </c>
      <c r="I58" t="s">
        <v>271</v>
      </c>
      <c r="J58"/>
      <c r="K58"/>
      <c r="L58"/>
      <c r="M58">
        <v>2023</v>
      </c>
      <c r="N58"/>
      <c r="O58" t="s">
        <v>45</v>
      </c>
      <c r="P58" t="s">
        <v>46</v>
      </c>
      <c r="Q58" t="s">
        <v>1257</v>
      </c>
      <c r="R58" t="s">
        <v>84</v>
      </c>
      <c r="S58">
        <v>30</v>
      </c>
    </row>
    <row r="59" spans="1:19" s="7" customFormat="1" x14ac:dyDescent="0.3">
      <c r="A59" t="s">
        <v>58</v>
      </c>
      <c r="B59"/>
      <c r="C59" t="s">
        <v>71</v>
      </c>
      <c r="D59" t="s">
        <v>36</v>
      </c>
      <c r="E59" t="s">
        <v>37</v>
      </c>
      <c r="F59" t="s">
        <v>38</v>
      </c>
      <c r="G59" t="s">
        <v>39</v>
      </c>
      <c r="H59">
        <v>2023</v>
      </c>
      <c r="I59" t="s">
        <v>271</v>
      </c>
      <c r="J59" s="64"/>
      <c r="K59" s="64"/>
      <c r="L59" s="64"/>
      <c r="M59">
        <v>2023</v>
      </c>
      <c r="N59" s="64"/>
      <c r="O59" t="s">
        <v>45</v>
      </c>
      <c r="P59" t="s">
        <v>46</v>
      </c>
      <c r="Q59" t="s">
        <v>1259</v>
      </c>
      <c r="R59" s="64" t="s">
        <v>85</v>
      </c>
      <c r="S59" s="64">
        <f>S53+S54+S55+S57+S58</f>
        <v>115</v>
      </c>
    </row>
    <row r="60" spans="1:19" s="7" customFormat="1" x14ac:dyDescent="0.3">
      <c r="A60" t="s">
        <v>58</v>
      </c>
      <c r="B60"/>
      <c r="C60" t="s">
        <v>71</v>
      </c>
      <c r="D60" t="s">
        <v>36</v>
      </c>
      <c r="E60" t="s">
        <v>37</v>
      </c>
      <c r="F60" t="s">
        <v>38</v>
      </c>
      <c r="G60" t="s">
        <v>39</v>
      </c>
      <c r="H60">
        <v>2023</v>
      </c>
      <c r="I60" t="s">
        <v>271</v>
      </c>
      <c r="J60" s="68"/>
      <c r="K60" s="68"/>
      <c r="L60" s="64"/>
      <c r="M60">
        <v>2023</v>
      </c>
      <c r="N60" s="68"/>
      <c r="O60" t="s">
        <v>45</v>
      </c>
      <c r="P60" s="9"/>
      <c r="Q60" s="69"/>
      <c r="R60" s="64" t="s">
        <v>343</v>
      </c>
      <c r="S60" s="70">
        <f>S46*100/$S$52</f>
        <v>43.269230769230766</v>
      </c>
    </row>
    <row r="61" spans="1:19" s="7" customFormat="1" x14ac:dyDescent="0.3">
      <c r="A61" t="s">
        <v>58</v>
      </c>
      <c r="B61"/>
      <c r="C61" t="s">
        <v>71</v>
      </c>
      <c r="D61" t="s">
        <v>36</v>
      </c>
      <c r="E61" t="s">
        <v>37</v>
      </c>
      <c r="F61" t="s">
        <v>38</v>
      </c>
      <c r="G61" t="s">
        <v>39</v>
      </c>
      <c r="H61">
        <v>2023</v>
      </c>
      <c r="I61" t="s">
        <v>271</v>
      </c>
      <c r="J61" s="68"/>
      <c r="K61" s="68"/>
      <c r="L61" s="64"/>
      <c r="M61">
        <v>2023</v>
      </c>
      <c r="N61" s="68"/>
      <c r="O61" t="s">
        <v>45</v>
      </c>
      <c r="P61" s="9"/>
      <c r="Q61" s="69"/>
      <c r="R61" s="64" t="s">
        <v>344</v>
      </c>
      <c r="S61" s="70">
        <f t="shared" ref="S61:S64" si="0">S47*100/$S$52</f>
        <v>26.923076923076923</v>
      </c>
    </row>
    <row r="62" spans="1:19" s="7" customFormat="1" x14ac:dyDescent="0.3">
      <c r="A62" t="s">
        <v>58</v>
      </c>
      <c r="B62"/>
      <c r="C62" t="s">
        <v>71</v>
      </c>
      <c r="D62" t="s">
        <v>36</v>
      </c>
      <c r="E62" t="s">
        <v>37</v>
      </c>
      <c r="F62" t="s">
        <v>38</v>
      </c>
      <c r="G62" t="s">
        <v>39</v>
      </c>
      <c r="H62">
        <v>2023</v>
      </c>
      <c r="I62" t="s">
        <v>271</v>
      </c>
      <c r="J62" s="68"/>
      <c r="K62" s="68"/>
      <c r="L62" s="64"/>
      <c r="M62">
        <v>2023</v>
      </c>
      <c r="N62" s="68"/>
      <c r="O62" t="s">
        <v>45</v>
      </c>
      <c r="P62" s="9"/>
      <c r="Q62" t="s">
        <v>1260</v>
      </c>
      <c r="R62" s="64" t="s">
        <v>345</v>
      </c>
      <c r="S62" s="70">
        <f t="shared" si="0"/>
        <v>7.6923076923076925</v>
      </c>
    </row>
    <row r="63" spans="1:19" s="7" customFormat="1" x14ac:dyDescent="0.3">
      <c r="A63" t="s">
        <v>58</v>
      </c>
      <c r="B63"/>
      <c r="C63" t="s">
        <v>71</v>
      </c>
      <c r="D63" t="s">
        <v>36</v>
      </c>
      <c r="E63" t="s">
        <v>37</v>
      </c>
      <c r="F63" t="s">
        <v>38</v>
      </c>
      <c r="G63" t="s">
        <v>39</v>
      </c>
      <c r="H63">
        <v>2023</v>
      </c>
      <c r="I63" t="s">
        <v>271</v>
      </c>
      <c r="J63" s="68"/>
      <c r="K63" s="68"/>
      <c r="L63" s="64"/>
      <c r="M63">
        <v>2023</v>
      </c>
      <c r="N63" s="68"/>
      <c r="O63" t="s">
        <v>45</v>
      </c>
      <c r="P63" s="9"/>
      <c r="Q63" s="69"/>
      <c r="R63" s="64" t="s">
        <v>346</v>
      </c>
      <c r="S63" s="70">
        <f>S49</f>
        <v>5.95</v>
      </c>
    </row>
    <row r="64" spans="1:19" s="7" customFormat="1" x14ac:dyDescent="0.3">
      <c r="A64" t="s">
        <v>58</v>
      </c>
      <c r="B64"/>
      <c r="C64" t="s">
        <v>71</v>
      </c>
      <c r="D64" t="s">
        <v>36</v>
      </c>
      <c r="E64" t="s">
        <v>37</v>
      </c>
      <c r="F64" t="s">
        <v>38</v>
      </c>
      <c r="G64" t="s">
        <v>39</v>
      </c>
      <c r="H64">
        <v>2023</v>
      </c>
      <c r="I64" t="s">
        <v>271</v>
      </c>
      <c r="J64" s="68"/>
      <c r="K64" s="68"/>
      <c r="L64" s="64"/>
      <c r="M64">
        <v>2023</v>
      </c>
      <c r="N64" s="68"/>
      <c r="O64" t="s">
        <v>45</v>
      </c>
      <c r="P64" s="9"/>
      <c r="Q64" s="69"/>
      <c r="R64" s="64" t="s">
        <v>347</v>
      </c>
      <c r="S64" s="70">
        <f t="shared" si="0"/>
        <v>9.615384615384615</v>
      </c>
    </row>
    <row r="65" spans="1:19" s="7" customFormat="1" x14ac:dyDescent="0.3">
      <c r="A65" t="s">
        <v>58</v>
      </c>
      <c r="B65"/>
      <c r="C65" t="s">
        <v>71</v>
      </c>
      <c r="D65" t="s">
        <v>36</v>
      </c>
      <c r="E65" t="s">
        <v>37</v>
      </c>
      <c r="F65" t="s">
        <v>38</v>
      </c>
      <c r="G65" t="s">
        <v>39</v>
      </c>
      <c r="H65">
        <v>2023</v>
      </c>
      <c r="I65" t="s">
        <v>271</v>
      </c>
      <c r="J65" s="68"/>
      <c r="K65" s="68"/>
      <c r="L65" s="64"/>
      <c r="M65">
        <v>2023</v>
      </c>
      <c r="N65" s="68"/>
      <c r="O65" t="s">
        <v>45</v>
      </c>
      <c r="P65" s="9"/>
      <c r="Q65" t="s">
        <v>1261</v>
      </c>
      <c r="R65" s="64" t="s">
        <v>348</v>
      </c>
      <c r="S65" s="70">
        <f>S51*100/$S$52</f>
        <v>12.5</v>
      </c>
    </row>
    <row r="66" spans="1:19" s="7" customFormat="1" x14ac:dyDescent="0.3">
      <c r="A66" t="s">
        <v>58</v>
      </c>
      <c r="B66"/>
      <c r="C66" t="s">
        <v>71</v>
      </c>
      <c r="D66" t="s">
        <v>36</v>
      </c>
      <c r="E66" t="s">
        <v>37</v>
      </c>
      <c r="F66" t="s">
        <v>38</v>
      </c>
      <c r="G66" t="s">
        <v>39</v>
      </c>
      <c r="H66">
        <v>2023</v>
      </c>
      <c r="I66" t="s">
        <v>271</v>
      </c>
      <c r="J66" s="68"/>
      <c r="K66" s="68"/>
      <c r="L66" s="64"/>
      <c r="M66">
        <v>2023</v>
      </c>
      <c r="N66" s="68"/>
      <c r="O66" t="s">
        <v>45</v>
      </c>
      <c r="P66" s="9"/>
      <c r="Q66" s="69"/>
      <c r="R66" s="64" t="s">
        <v>349</v>
      </c>
      <c r="S66" s="70">
        <f>S53*100/$S$59</f>
        <v>43.478260869565219</v>
      </c>
    </row>
    <row r="67" spans="1:19" s="7" customFormat="1" x14ac:dyDescent="0.3">
      <c r="A67" t="s">
        <v>58</v>
      </c>
      <c r="B67"/>
      <c r="C67" t="s">
        <v>71</v>
      </c>
      <c r="D67" t="s">
        <v>36</v>
      </c>
      <c r="E67" t="s">
        <v>37</v>
      </c>
      <c r="F67" t="s">
        <v>38</v>
      </c>
      <c r="G67" t="s">
        <v>39</v>
      </c>
      <c r="H67">
        <v>2023</v>
      </c>
      <c r="I67" t="s">
        <v>271</v>
      </c>
      <c r="J67" s="68"/>
      <c r="K67" s="68"/>
      <c r="L67" s="64"/>
      <c r="M67">
        <v>2023</v>
      </c>
      <c r="N67" s="68"/>
      <c r="O67" t="s">
        <v>45</v>
      </c>
      <c r="P67" s="9"/>
      <c r="Q67" s="69"/>
      <c r="R67" s="68" t="s">
        <v>350</v>
      </c>
      <c r="S67" s="70">
        <f t="shared" ref="S67:S71" si="1">S54*100/$S$59</f>
        <v>18.260869565217391</v>
      </c>
    </row>
    <row r="68" spans="1:19" s="7" customFormat="1" x14ac:dyDescent="0.3">
      <c r="A68" t="s">
        <v>58</v>
      </c>
      <c r="B68"/>
      <c r="C68" t="s">
        <v>71</v>
      </c>
      <c r="D68" t="s">
        <v>36</v>
      </c>
      <c r="E68" t="s">
        <v>37</v>
      </c>
      <c r="F68" t="s">
        <v>38</v>
      </c>
      <c r="G68" t="s">
        <v>39</v>
      </c>
      <c r="H68">
        <v>2023</v>
      </c>
      <c r="I68" t="s">
        <v>271</v>
      </c>
      <c r="J68" s="68"/>
      <c r="K68" s="68"/>
      <c r="L68" s="64"/>
      <c r="M68">
        <v>2023</v>
      </c>
      <c r="N68" s="68"/>
      <c r="O68" t="s">
        <v>45</v>
      </c>
      <c r="P68" s="9"/>
      <c r="Q68" t="s">
        <v>1262</v>
      </c>
      <c r="R68" s="68" t="s">
        <v>351</v>
      </c>
      <c r="S68" s="70">
        <f t="shared" si="1"/>
        <v>5.2173913043478262</v>
      </c>
    </row>
    <row r="69" spans="1:19" s="7" customFormat="1" x14ac:dyDescent="0.3">
      <c r="A69" t="s">
        <v>58</v>
      </c>
      <c r="B69"/>
      <c r="C69" t="s">
        <v>71</v>
      </c>
      <c r="D69" t="s">
        <v>36</v>
      </c>
      <c r="E69" t="s">
        <v>37</v>
      </c>
      <c r="F69" t="s">
        <v>38</v>
      </c>
      <c r="G69" t="s">
        <v>39</v>
      </c>
      <c r="H69">
        <v>2023</v>
      </c>
      <c r="I69" t="s">
        <v>271</v>
      </c>
      <c r="J69" s="68"/>
      <c r="K69" s="68"/>
      <c r="L69" s="64"/>
      <c r="M69">
        <v>2023</v>
      </c>
      <c r="N69" s="68"/>
      <c r="O69" t="s">
        <v>45</v>
      </c>
      <c r="P69" s="9"/>
      <c r="Q69" s="69"/>
      <c r="R69" s="68" t="s">
        <v>352</v>
      </c>
      <c r="S69" s="70">
        <f>S56</f>
        <v>14.79</v>
      </c>
    </row>
    <row r="70" spans="1:19" s="7" customFormat="1" x14ac:dyDescent="0.3">
      <c r="A70" t="s">
        <v>58</v>
      </c>
      <c r="B70"/>
      <c r="C70" t="s">
        <v>71</v>
      </c>
      <c r="D70" t="s">
        <v>36</v>
      </c>
      <c r="E70" t="s">
        <v>37</v>
      </c>
      <c r="F70" t="s">
        <v>38</v>
      </c>
      <c r="G70" t="s">
        <v>39</v>
      </c>
      <c r="H70">
        <v>2023</v>
      </c>
      <c r="I70" t="s">
        <v>271</v>
      </c>
      <c r="J70" s="68"/>
      <c r="K70" s="68"/>
      <c r="L70" s="64"/>
      <c r="M70">
        <v>2023</v>
      </c>
      <c r="N70" s="68"/>
      <c r="O70" t="s">
        <v>45</v>
      </c>
      <c r="P70" s="9"/>
      <c r="Q70" s="69"/>
      <c r="R70" s="68" t="s">
        <v>353</v>
      </c>
      <c r="S70" s="70">
        <f t="shared" si="1"/>
        <v>6.9565217391304346</v>
      </c>
    </row>
    <row r="71" spans="1:19" s="7" customFormat="1" x14ac:dyDescent="0.3">
      <c r="A71" t="s">
        <v>58</v>
      </c>
      <c r="B71"/>
      <c r="C71" t="s">
        <v>71</v>
      </c>
      <c r="D71" t="s">
        <v>36</v>
      </c>
      <c r="E71" t="s">
        <v>37</v>
      </c>
      <c r="F71" t="s">
        <v>38</v>
      </c>
      <c r="G71" t="s">
        <v>39</v>
      </c>
      <c r="H71">
        <v>2023</v>
      </c>
      <c r="I71" t="s">
        <v>271</v>
      </c>
      <c r="J71" s="68"/>
      <c r="K71" s="68"/>
      <c r="L71" s="64"/>
      <c r="M71">
        <v>2023</v>
      </c>
      <c r="N71" s="68"/>
      <c r="O71" t="s">
        <v>45</v>
      </c>
      <c r="P71" s="9"/>
      <c r="Q71" t="s">
        <v>1261</v>
      </c>
      <c r="R71" s="68" t="s">
        <v>354</v>
      </c>
      <c r="S71" s="70">
        <f t="shared" si="1"/>
        <v>26.086956521739129</v>
      </c>
    </row>
    <row r="72" spans="1:19" s="7" customFormat="1" x14ac:dyDescent="0.3">
      <c r="A72" t="s">
        <v>58</v>
      </c>
      <c r="B72"/>
      <c r="C72" t="s">
        <v>71</v>
      </c>
      <c r="D72" t="s">
        <v>36</v>
      </c>
      <c r="E72" t="s">
        <v>37</v>
      </c>
      <c r="F72" t="s">
        <v>38</v>
      </c>
      <c r="G72" t="s">
        <v>39</v>
      </c>
      <c r="H72">
        <v>2023</v>
      </c>
      <c r="I72" t="s">
        <v>271</v>
      </c>
      <c r="J72" s="68"/>
      <c r="K72" s="68"/>
      <c r="L72" s="64"/>
      <c r="M72">
        <v>2023</v>
      </c>
      <c r="N72" s="68"/>
      <c r="O72" t="s">
        <v>45</v>
      </c>
      <c r="P72" s="9"/>
      <c r="Q72" t="s">
        <v>1263</v>
      </c>
      <c r="R72" s="71" t="s">
        <v>355</v>
      </c>
      <c r="S72" s="70">
        <f>((S66-S60)/S60)*100</f>
        <v>0.48309178743962272</v>
      </c>
    </row>
    <row r="73" spans="1:19" s="7" customFormat="1" x14ac:dyDescent="0.3">
      <c r="A73" t="s">
        <v>58</v>
      </c>
      <c r="B73"/>
      <c r="C73" t="s">
        <v>71</v>
      </c>
      <c r="D73" t="s">
        <v>36</v>
      </c>
      <c r="E73" t="s">
        <v>37</v>
      </c>
      <c r="F73" t="s">
        <v>38</v>
      </c>
      <c r="G73" t="s">
        <v>39</v>
      </c>
      <c r="H73">
        <v>2023</v>
      </c>
      <c r="I73" t="s">
        <v>271</v>
      </c>
      <c r="J73" s="68"/>
      <c r="K73" s="68"/>
      <c r="L73" s="64"/>
      <c r="M73">
        <v>2023</v>
      </c>
      <c r="N73" s="68"/>
      <c r="O73" t="s">
        <v>45</v>
      </c>
      <c r="P73" s="9"/>
      <c r="Q73" t="s">
        <v>1264</v>
      </c>
      <c r="R73" s="64" t="s">
        <v>356</v>
      </c>
      <c r="S73" s="70">
        <f>((S67-S61)/S61)*100</f>
        <v>-32.173913043478265</v>
      </c>
    </row>
    <row r="74" spans="1:19" s="7" customFormat="1" x14ac:dyDescent="0.3">
      <c r="A74" t="s">
        <v>58</v>
      </c>
      <c r="B74"/>
      <c r="C74" t="s">
        <v>71</v>
      </c>
      <c r="D74" t="s">
        <v>36</v>
      </c>
      <c r="E74" t="s">
        <v>37</v>
      </c>
      <c r="F74" t="s">
        <v>38</v>
      </c>
      <c r="G74" t="s">
        <v>39</v>
      </c>
      <c r="H74">
        <v>2023</v>
      </c>
      <c r="I74" t="s">
        <v>271</v>
      </c>
      <c r="J74" s="68"/>
      <c r="K74" s="68"/>
      <c r="L74" s="64"/>
      <c r="M74">
        <v>2023</v>
      </c>
      <c r="N74" s="68"/>
      <c r="O74" t="s">
        <v>45</v>
      </c>
      <c r="P74" s="9"/>
      <c r="Q74" t="s">
        <v>1265</v>
      </c>
      <c r="R74" s="68" t="s">
        <v>357</v>
      </c>
      <c r="S74" s="70">
        <f t="shared" ref="S74:S77" si="2">((S68-S62)/S62)*100</f>
        <v>-32.173913043478265</v>
      </c>
    </row>
    <row r="75" spans="1:19" s="7" customFormat="1" x14ac:dyDescent="0.3">
      <c r="A75" t="s">
        <v>58</v>
      </c>
      <c r="B75"/>
      <c r="C75" t="s">
        <v>71</v>
      </c>
      <c r="D75" t="s">
        <v>36</v>
      </c>
      <c r="E75" t="s">
        <v>37</v>
      </c>
      <c r="F75" t="s">
        <v>38</v>
      </c>
      <c r="G75" t="s">
        <v>39</v>
      </c>
      <c r="H75">
        <v>2023</v>
      </c>
      <c r="I75" t="s">
        <v>271</v>
      </c>
      <c r="J75" s="68"/>
      <c r="K75" s="68"/>
      <c r="L75" s="64"/>
      <c r="M75">
        <v>2023</v>
      </c>
      <c r="N75" s="68"/>
      <c r="O75" t="s">
        <v>45</v>
      </c>
      <c r="P75" s="9"/>
      <c r="Q75" t="s">
        <v>1264</v>
      </c>
      <c r="R75" s="68" t="s">
        <v>358</v>
      </c>
      <c r="S75" s="70">
        <f t="shared" si="2"/>
        <v>148.57142857142856</v>
      </c>
    </row>
    <row r="76" spans="1:19" s="7" customFormat="1" x14ac:dyDescent="0.3">
      <c r="A76" t="s">
        <v>58</v>
      </c>
      <c r="B76"/>
      <c r="C76" t="s">
        <v>71</v>
      </c>
      <c r="D76" t="s">
        <v>36</v>
      </c>
      <c r="E76" t="s">
        <v>37</v>
      </c>
      <c r="F76" t="s">
        <v>38</v>
      </c>
      <c r="G76" t="s">
        <v>39</v>
      </c>
      <c r="H76">
        <v>2023</v>
      </c>
      <c r="I76" t="s">
        <v>271</v>
      </c>
      <c r="J76" s="68"/>
      <c r="K76" s="68"/>
      <c r="L76" s="64"/>
      <c r="M76">
        <v>2023</v>
      </c>
      <c r="N76" s="68"/>
      <c r="O76" t="s">
        <v>45</v>
      </c>
      <c r="P76" s="9"/>
      <c r="Q76" t="s">
        <v>1266</v>
      </c>
      <c r="R76" s="68" t="s">
        <v>359</v>
      </c>
      <c r="S76" s="70">
        <f t="shared" si="2"/>
        <v>-27.652173913043477</v>
      </c>
    </row>
    <row r="77" spans="1:19" s="7" customFormat="1" x14ac:dyDescent="0.3">
      <c r="A77" t="s">
        <v>58</v>
      </c>
      <c r="B77"/>
      <c r="C77" t="s">
        <v>71</v>
      </c>
      <c r="D77" t="s">
        <v>36</v>
      </c>
      <c r="E77" t="s">
        <v>37</v>
      </c>
      <c r="F77" t="s">
        <v>38</v>
      </c>
      <c r="G77" t="s">
        <v>39</v>
      </c>
      <c r="H77">
        <v>2023</v>
      </c>
      <c r="I77" t="s">
        <v>271</v>
      </c>
      <c r="J77" s="68"/>
      <c r="K77" s="68"/>
      <c r="L77" s="64"/>
      <c r="M77">
        <v>2023</v>
      </c>
      <c r="N77" s="68"/>
      <c r="O77" t="s">
        <v>45</v>
      </c>
      <c r="P77" s="9"/>
      <c r="Q77" t="s">
        <v>1267</v>
      </c>
      <c r="R77" s="68" t="s">
        <v>360</v>
      </c>
      <c r="S77" s="70">
        <f t="shared" si="2"/>
        <v>108.69565217391303</v>
      </c>
    </row>
    <row r="78" spans="1:19" s="7" customFormat="1" x14ac:dyDescent="0.3">
      <c r="A78" t="s">
        <v>58</v>
      </c>
      <c r="B78"/>
      <c r="C78" t="s">
        <v>86</v>
      </c>
      <c r="D78" t="s">
        <v>36</v>
      </c>
      <c r="E78" t="s">
        <v>37</v>
      </c>
      <c r="F78" t="s">
        <v>38</v>
      </c>
      <c r="G78" t="s">
        <v>39</v>
      </c>
      <c r="H78">
        <v>2023</v>
      </c>
      <c r="I78" t="s">
        <v>271</v>
      </c>
      <c r="J78"/>
      <c r="K78"/>
      <c r="L78"/>
      <c r="M78">
        <v>2023</v>
      </c>
      <c r="N78"/>
      <c r="O78" t="s">
        <v>45</v>
      </c>
      <c r="P78" t="s">
        <v>46</v>
      </c>
      <c r="Q78"/>
      <c r="R78" t="s">
        <v>87</v>
      </c>
      <c r="S78">
        <v>8</v>
      </c>
    </row>
    <row r="79" spans="1:19" s="7" customFormat="1" x14ac:dyDescent="0.3">
      <c r="A79" t="s">
        <v>58</v>
      </c>
      <c r="B79"/>
      <c r="C79" t="s">
        <v>86</v>
      </c>
      <c r="D79" t="s">
        <v>36</v>
      </c>
      <c r="E79" t="s">
        <v>37</v>
      </c>
      <c r="F79" t="s">
        <v>38</v>
      </c>
      <c r="G79" t="s">
        <v>39</v>
      </c>
      <c r="H79">
        <v>2023</v>
      </c>
      <c r="I79" t="s">
        <v>271</v>
      </c>
      <c r="J79"/>
      <c r="K79"/>
      <c r="L79"/>
      <c r="M79">
        <v>2023</v>
      </c>
      <c r="N79"/>
      <c r="O79" t="s">
        <v>45</v>
      </c>
      <c r="P79" t="s">
        <v>46</v>
      </c>
      <c r="Q79"/>
      <c r="R79" t="s">
        <v>88</v>
      </c>
      <c r="S79">
        <v>25</v>
      </c>
    </row>
    <row r="80" spans="1:19" s="7" customFormat="1" x14ac:dyDescent="0.3">
      <c r="A80" t="s">
        <v>58</v>
      </c>
      <c r="B80"/>
      <c r="C80" t="s">
        <v>86</v>
      </c>
      <c r="D80" t="s">
        <v>36</v>
      </c>
      <c r="E80" t="s">
        <v>37</v>
      </c>
      <c r="F80" t="s">
        <v>38</v>
      </c>
      <c r="G80" t="s">
        <v>39</v>
      </c>
      <c r="H80">
        <v>2023</v>
      </c>
      <c r="I80" t="s">
        <v>271</v>
      </c>
      <c r="J80"/>
      <c r="K80"/>
      <c r="L80"/>
      <c r="M80">
        <v>2023</v>
      </c>
      <c r="N80"/>
      <c r="O80" t="s">
        <v>45</v>
      </c>
      <c r="P80" t="s">
        <v>46</v>
      </c>
      <c r="Q80"/>
      <c r="R80" t="s">
        <v>89</v>
      </c>
      <c r="S80">
        <v>16</v>
      </c>
    </row>
    <row r="81" spans="1:19" s="7" customFormat="1" x14ac:dyDescent="0.3">
      <c r="A81" t="s">
        <v>58</v>
      </c>
      <c r="B81"/>
      <c r="C81" t="s">
        <v>86</v>
      </c>
      <c r="D81" t="s">
        <v>36</v>
      </c>
      <c r="E81" t="s">
        <v>37</v>
      </c>
      <c r="F81" t="s">
        <v>38</v>
      </c>
      <c r="G81" t="s">
        <v>39</v>
      </c>
      <c r="H81">
        <v>2023</v>
      </c>
      <c r="I81" t="s">
        <v>271</v>
      </c>
      <c r="J81"/>
      <c r="K81"/>
      <c r="L81"/>
      <c r="M81">
        <v>2023</v>
      </c>
      <c r="N81"/>
      <c r="O81" t="s">
        <v>45</v>
      </c>
      <c r="P81" t="s">
        <v>46</v>
      </c>
      <c r="Q81" t="s">
        <v>1268</v>
      </c>
      <c r="R81" t="s">
        <v>90</v>
      </c>
      <c r="S81">
        <v>49</v>
      </c>
    </row>
    <row r="82" spans="1:19" s="7" customFormat="1" x14ac:dyDescent="0.3">
      <c r="A82" t="s">
        <v>58</v>
      </c>
      <c r="B82"/>
      <c r="C82" t="s">
        <v>86</v>
      </c>
      <c r="D82" t="s">
        <v>36</v>
      </c>
      <c r="E82" t="s">
        <v>37</v>
      </c>
      <c r="F82" t="s">
        <v>38</v>
      </c>
      <c r="G82" t="s">
        <v>39</v>
      </c>
      <c r="H82">
        <v>2023</v>
      </c>
      <c r="I82" t="s">
        <v>271</v>
      </c>
      <c r="J82"/>
      <c r="K82"/>
      <c r="L82"/>
      <c r="M82">
        <v>2023</v>
      </c>
      <c r="N82"/>
      <c r="O82" t="s">
        <v>45</v>
      </c>
      <c r="P82" t="s">
        <v>46</v>
      </c>
      <c r="Q82" t="s">
        <v>1269</v>
      </c>
      <c r="R82" t="s">
        <v>91</v>
      </c>
      <c r="S82">
        <v>139</v>
      </c>
    </row>
    <row r="83" spans="1:19" s="7" customFormat="1" x14ac:dyDescent="0.3">
      <c r="A83" t="s">
        <v>58</v>
      </c>
      <c r="B83"/>
      <c r="C83" t="s">
        <v>92</v>
      </c>
      <c r="D83" t="s">
        <v>36</v>
      </c>
      <c r="E83" t="s">
        <v>37</v>
      </c>
      <c r="F83" t="s">
        <v>38</v>
      </c>
      <c r="G83" t="s">
        <v>39</v>
      </c>
      <c r="H83">
        <v>2023</v>
      </c>
      <c r="I83" t="s">
        <v>271</v>
      </c>
      <c r="J83"/>
      <c r="K83"/>
      <c r="L83"/>
      <c r="M83">
        <v>2023</v>
      </c>
      <c r="N83"/>
      <c r="O83" t="s">
        <v>45</v>
      </c>
      <c r="P83" t="s">
        <v>46</v>
      </c>
      <c r="Q83" t="s">
        <v>1270</v>
      </c>
      <c r="R83" t="s">
        <v>364</v>
      </c>
      <c r="S83">
        <v>90.49</v>
      </c>
    </row>
    <row r="84" spans="1:19" s="7" customFormat="1" x14ac:dyDescent="0.3">
      <c r="A84" t="s">
        <v>58</v>
      </c>
      <c r="B84"/>
      <c r="C84" t="s">
        <v>92</v>
      </c>
      <c r="D84" t="s">
        <v>36</v>
      </c>
      <c r="E84" t="s">
        <v>37</v>
      </c>
      <c r="F84" t="s">
        <v>38</v>
      </c>
      <c r="G84" t="s">
        <v>39</v>
      </c>
      <c r="H84">
        <v>2023</v>
      </c>
      <c r="I84" t="s">
        <v>271</v>
      </c>
      <c r="J84"/>
      <c r="K84"/>
      <c r="L84"/>
      <c r="M84">
        <v>2023</v>
      </c>
      <c r="N84"/>
      <c r="O84" t="s">
        <v>45</v>
      </c>
      <c r="P84" t="s">
        <v>46</v>
      </c>
      <c r="Q84" t="s">
        <v>1270</v>
      </c>
      <c r="R84" t="s">
        <v>365</v>
      </c>
      <c r="S84">
        <v>95.71</v>
      </c>
    </row>
    <row r="85" spans="1:19" s="7" customFormat="1" x14ac:dyDescent="0.3">
      <c r="A85" t="s">
        <v>58</v>
      </c>
      <c r="B85"/>
      <c r="C85" t="s">
        <v>92</v>
      </c>
      <c r="D85" t="s">
        <v>36</v>
      </c>
      <c r="E85" t="s">
        <v>37</v>
      </c>
      <c r="F85" t="s">
        <v>38</v>
      </c>
      <c r="G85" t="s">
        <v>39</v>
      </c>
      <c r="H85">
        <v>2023</v>
      </c>
      <c r="I85" t="s">
        <v>271</v>
      </c>
      <c r="J85"/>
      <c r="K85"/>
      <c r="L85"/>
      <c r="M85">
        <v>2023</v>
      </c>
      <c r="N85"/>
      <c r="O85" t="s">
        <v>45</v>
      </c>
      <c r="P85" t="s">
        <v>46</v>
      </c>
      <c r="Q85" t="s">
        <v>1270</v>
      </c>
      <c r="R85" t="s">
        <v>366</v>
      </c>
      <c r="S85">
        <v>95.54</v>
      </c>
    </row>
    <row r="86" spans="1:19" s="7" customFormat="1" x14ac:dyDescent="0.3">
      <c r="A86" t="s">
        <v>58</v>
      </c>
      <c r="B86"/>
      <c r="C86" t="s">
        <v>92</v>
      </c>
      <c r="D86" t="s">
        <v>36</v>
      </c>
      <c r="E86" t="s">
        <v>37</v>
      </c>
      <c r="F86" t="s">
        <v>38</v>
      </c>
      <c r="G86" t="s">
        <v>39</v>
      </c>
      <c r="H86">
        <v>2023</v>
      </c>
      <c r="I86" t="s">
        <v>271</v>
      </c>
      <c r="J86"/>
      <c r="K86"/>
      <c r="L86"/>
      <c r="M86">
        <v>2023</v>
      </c>
      <c r="N86"/>
      <c r="O86" t="s">
        <v>45</v>
      </c>
      <c r="P86" t="s">
        <v>46</v>
      </c>
      <c r="Q86" t="s">
        <v>1270</v>
      </c>
      <c r="R86" t="s">
        <v>367</v>
      </c>
      <c r="S86">
        <v>95.51</v>
      </c>
    </row>
    <row r="87" spans="1:19" s="7" customFormat="1" x14ac:dyDescent="0.3">
      <c r="A87" s="7" t="s">
        <v>369</v>
      </c>
      <c r="C87" s="7" t="s">
        <v>370</v>
      </c>
      <c r="D87" t="s">
        <v>36</v>
      </c>
      <c r="E87" t="s">
        <v>37</v>
      </c>
      <c r="F87" t="s">
        <v>38</v>
      </c>
      <c r="G87" t="s">
        <v>39</v>
      </c>
      <c r="H87">
        <v>2023</v>
      </c>
      <c r="I87" t="s">
        <v>271</v>
      </c>
      <c r="L87"/>
      <c r="M87">
        <v>2023</v>
      </c>
      <c r="O87" t="s">
        <v>45</v>
      </c>
      <c r="P87" s="9"/>
      <c r="Q87" t="s">
        <v>1271</v>
      </c>
      <c r="R87" s="7" t="s">
        <v>371</v>
      </c>
      <c r="S87" s="66">
        <v>7740.3</v>
      </c>
    </row>
    <row r="88" spans="1:19" s="7" customFormat="1" x14ac:dyDescent="0.3">
      <c r="A88" s="7" t="s">
        <v>369</v>
      </c>
      <c r="C88" s="7" t="s">
        <v>370</v>
      </c>
      <c r="D88" t="s">
        <v>36</v>
      </c>
      <c r="E88" t="s">
        <v>37</v>
      </c>
      <c r="F88" t="s">
        <v>38</v>
      </c>
      <c r="G88" t="s">
        <v>39</v>
      </c>
      <c r="H88">
        <v>2023</v>
      </c>
      <c r="I88" t="s">
        <v>271</v>
      </c>
      <c r="L88"/>
      <c r="M88">
        <v>2023</v>
      </c>
      <c r="O88" t="s">
        <v>45</v>
      </c>
      <c r="P88" s="9"/>
      <c r="Q88" t="s">
        <v>1271</v>
      </c>
      <c r="R88" s="7" t="s">
        <v>372</v>
      </c>
      <c r="S88" s="66">
        <v>2106</v>
      </c>
    </row>
    <row r="89" spans="1:19" s="7" customFormat="1" x14ac:dyDescent="0.3">
      <c r="A89" s="7" t="s">
        <v>369</v>
      </c>
      <c r="C89" s="7" t="s">
        <v>370</v>
      </c>
      <c r="D89" t="s">
        <v>36</v>
      </c>
      <c r="E89" t="s">
        <v>37</v>
      </c>
      <c r="F89" t="s">
        <v>38</v>
      </c>
      <c r="G89" t="s">
        <v>39</v>
      </c>
      <c r="H89">
        <v>2023</v>
      </c>
      <c r="I89" t="s">
        <v>271</v>
      </c>
      <c r="L89"/>
      <c r="M89">
        <v>2023</v>
      </c>
      <c r="O89" t="s">
        <v>45</v>
      </c>
      <c r="P89" s="9"/>
      <c r="Q89" t="s">
        <v>1271</v>
      </c>
      <c r="R89" s="7" t="s">
        <v>373</v>
      </c>
      <c r="S89" s="66">
        <v>640.6</v>
      </c>
    </row>
    <row r="90" spans="1:19" s="7" customFormat="1" x14ac:dyDescent="0.3">
      <c r="A90" s="7" t="s">
        <v>369</v>
      </c>
      <c r="C90" s="7" t="s">
        <v>370</v>
      </c>
      <c r="D90" t="s">
        <v>36</v>
      </c>
      <c r="E90" t="s">
        <v>37</v>
      </c>
      <c r="F90" t="s">
        <v>38</v>
      </c>
      <c r="G90" t="s">
        <v>39</v>
      </c>
      <c r="H90">
        <v>2023</v>
      </c>
      <c r="I90" t="s">
        <v>271</v>
      </c>
      <c r="L90"/>
      <c r="M90">
        <v>2023</v>
      </c>
      <c r="O90" t="s">
        <v>45</v>
      </c>
      <c r="P90" s="9"/>
      <c r="Q90" t="s">
        <v>1271</v>
      </c>
      <c r="R90" s="7" t="s">
        <v>375</v>
      </c>
      <c r="S90" s="66">
        <v>9069.5</v>
      </c>
    </row>
    <row r="91" spans="1:19" s="7" customFormat="1" x14ac:dyDescent="0.3">
      <c r="A91" s="7" t="s">
        <v>369</v>
      </c>
      <c r="C91" s="7" t="s">
        <v>370</v>
      </c>
      <c r="D91" t="s">
        <v>36</v>
      </c>
      <c r="E91" t="s">
        <v>37</v>
      </c>
      <c r="F91" t="s">
        <v>38</v>
      </c>
      <c r="G91" t="s">
        <v>39</v>
      </c>
      <c r="H91">
        <v>2023</v>
      </c>
      <c r="I91" t="s">
        <v>271</v>
      </c>
      <c r="L91"/>
      <c r="M91">
        <v>2023</v>
      </c>
      <c r="O91" t="s">
        <v>45</v>
      </c>
      <c r="P91" s="9"/>
      <c r="Q91" t="s">
        <v>1271</v>
      </c>
      <c r="R91" s="7" t="s">
        <v>376</v>
      </c>
      <c r="S91" s="66">
        <v>1074.5999999999999</v>
      </c>
    </row>
    <row r="92" spans="1:19" s="7" customFormat="1" x14ac:dyDescent="0.3">
      <c r="A92" s="7" t="s">
        <v>369</v>
      </c>
      <c r="C92" s="7" t="s">
        <v>370</v>
      </c>
      <c r="D92" t="s">
        <v>36</v>
      </c>
      <c r="E92" t="s">
        <v>37</v>
      </c>
      <c r="F92" t="s">
        <v>38</v>
      </c>
      <c r="G92" t="s">
        <v>39</v>
      </c>
      <c r="H92">
        <v>2023</v>
      </c>
      <c r="I92" t="s">
        <v>271</v>
      </c>
      <c r="L92"/>
      <c r="M92">
        <v>2023</v>
      </c>
      <c r="O92" t="s">
        <v>45</v>
      </c>
      <c r="P92" s="9"/>
      <c r="Q92" t="s">
        <v>1271</v>
      </c>
      <c r="R92" s="7" t="s">
        <v>374</v>
      </c>
      <c r="S92" s="66">
        <v>668.2</v>
      </c>
    </row>
    <row r="93" spans="1:19" s="7" customFormat="1" x14ac:dyDescent="0.3">
      <c r="A93" s="7" t="s">
        <v>369</v>
      </c>
      <c r="C93" s="7" t="s">
        <v>370</v>
      </c>
      <c r="D93" t="s">
        <v>36</v>
      </c>
      <c r="E93" t="s">
        <v>37</v>
      </c>
      <c r="F93" t="s">
        <v>38</v>
      </c>
      <c r="G93" t="s">
        <v>39</v>
      </c>
      <c r="H93">
        <v>2023</v>
      </c>
      <c r="I93" t="s">
        <v>271</v>
      </c>
      <c r="L93"/>
      <c r="M93">
        <v>2023</v>
      </c>
      <c r="O93" t="s">
        <v>45</v>
      </c>
      <c r="P93" s="9"/>
      <c r="Q93" t="s">
        <v>1271</v>
      </c>
      <c r="R93" s="7" t="s">
        <v>377</v>
      </c>
      <c r="S93" s="66">
        <v>8224.4</v>
      </c>
    </row>
    <row r="94" spans="1:19" s="7" customFormat="1" x14ac:dyDescent="0.3">
      <c r="A94" s="7" t="s">
        <v>369</v>
      </c>
      <c r="C94" s="7" t="s">
        <v>370</v>
      </c>
      <c r="D94" t="s">
        <v>36</v>
      </c>
      <c r="E94" t="s">
        <v>37</v>
      </c>
      <c r="F94" t="s">
        <v>38</v>
      </c>
      <c r="G94" t="s">
        <v>39</v>
      </c>
      <c r="H94">
        <v>2023</v>
      </c>
      <c r="I94" t="s">
        <v>271</v>
      </c>
      <c r="L94"/>
      <c r="M94">
        <v>2023</v>
      </c>
      <c r="O94" t="s">
        <v>45</v>
      </c>
      <c r="P94" s="9"/>
      <c r="Q94" t="s">
        <v>1271</v>
      </c>
      <c r="R94" s="7" t="s">
        <v>378</v>
      </c>
      <c r="S94" s="66">
        <v>660.9</v>
      </c>
    </row>
    <row r="95" spans="1:19" s="7" customFormat="1" x14ac:dyDescent="0.3">
      <c r="A95" s="7" t="s">
        <v>369</v>
      </c>
      <c r="C95" s="7" t="s">
        <v>370</v>
      </c>
      <c r="D95" t="s">
        <v>36</v>
      </c>
      <c r="E95" t="s">
        <v>37</v>
      </c>
      <c r="F95" t="s">
        <v>38</v>
      </c>
      <c r="G95" t="s">
        <v>39</v>
      </c>
      <c r="H95">
        <v>2023</v>
      </c>
      <c r="I95" t="s">
        <v>271</v>
      </c>
      <c r="L95"/>
      <c r="M95">
        <v>2023</v>
      </c>
      <c r="O95" t="s">
        <v>45</v>
      </c>
      <c r="P95" s="9"/>
      <c r="Q95" t="s">
        <v>1271</v>
      </c>
      <c r="R95" s="7" t="s">
        <v>379</v>
      </c>
      <c r="S95" s="66">
        <v>419.5</v>
      </c>
    </row>
    <row r="96" spans="1:19" s="7" customFormat="1" x14ac:dyDescent="0.3">
      <c r="A96" s="7" t="s">
        <v>369</v>
      </c>
      <c r="C96" s="7" t="s">
        <v>370</v>
      </c>
      <c r="D96" t="s">
        <v>36</v>
      </c>
      <c r="E96" t="s">
        <v>37</v>
      </c>
      <c r="F96" t="s">
        <v>38</v>
      </c>
      <c r="G96" t="s">
        <v>39</v>
      </c>
      <c r="H96">
        <v>2023</v>
      </c>
      <c r="I96" t="s">
        <v>271</v>
      </c>
      <c r="J96" s="68"/>
      <c r="K96" s="68"/>
      <c r="L96" s="64"/>
      <c r="M96">
        <v>2023</v>
      </c>
      <c r="N96" s="68"/>
      <c r="O96" t="s">
        <v>45</v>
      </c>
      <c r="P96" s="9"/>
      <c r="Q96" s="69"/>
      <c r="R96" s="68" t="s">
        <v>380</v>
      </c>
      <c r="S96" s="70">
        <f>S87-S90</f>
        <v>-1329.1999999999998</v>
      </c>
    </row>
    <row r="97" spans="1:19" s="7" customFormat="1" x14ac:dyDescent="0.3">
      <c r="A97" s="7" t="s">
        <v>369</v>
      </c>
      <c r="C97" s="7" t="s">
        <v>370</v>
      </c>
      <c r="D97" t="s">
        <v>36</v>
      </c>
      <c r="E97" t="s">
        <v>37</v>
      </c>
      <c r="F97" t="s">
        <v>38</v>
      </c>
      <c r="G97" t="s">
        <v>39</v>
      </c>
      <c r="H97">
        <v>2023</v>
      </c>
      <c r="I97" t="s">
        <v>271</v>
      </c>
      <c r="J97" s="68"/>
      <c r="K97" s="68"/>
      <c r="L97" s="64"/>
      <c r="M97">
        <v>2023</v>
      </c>
      <c r="N97" s="68"/>
      <c r="O97" t="s">
        <v>45</v>
      </c>
      <c r="P97" s="9"/>
      <c r="Q97" s="69"/>
      <c r="R97" s="68" t="s">
        <v>381</v>
      </c>
      <c r="S97" s="70">
        <f t="shared" ref="S97:S101" si="3">S88-S91</f>
        <v>1031.4000000000001</v>
      </c>
    </row>
    <row r="98" spans="1:19" s="7" customFormat="1" x14ac:dyDescent="0.3">
      <c r="A98" s="7" t="s">
        <v>369</v>
      </c>
      <c r="C98" s="7" t="s">
        <v>370</v>
      </c>
      <c r="D98" t="s">
        <v>36</v>
      </c>
      <c r="E98" t="s">
        <v>37</v>
      </c>
      <c r="F98" t="s">
        <v>38</v>
      </c>
      <c r="G98" t="s">
        <v>39</v>
      </c>
      <c r="H98">
        <v>2023</v>
      </c>
      <c r="I98" t="s">
        <v>271</v>
      </c>
      <c r="J98" s="68"/>
      <c r="K98" s="68"/>
      <c r="L98" s="64"/>
      <c r="M98">
        <v>2023</v>
      </c>
      <c r="N98" s="68"/>
      <c r="O98" t="s">
        <v>45</v>
      </c>
      <c r="P98" s="9"/>
      <c r="Q98" t="s">
        <v>1272</v>
      </c>
      <c r="R98" s="68" t="s">
        <v>382</v>
      </c>
      <c r="S98" s="70">
        <f t="shared" si="3"/>
        <v>-27.600000000000023</v>
      </c>
    </row>
    <row r="99" spans="1:19" s="7" customFormat="1" x14ac:dyDescent="0.3">
      <c r="A99" s="7" t="s">
        <v>369</v>
      </c>
      <c r="C99" s="7" t="s">
        <v>370</v>
      </c>
      <c r="D99" t="s">
        <v>36</v>
      </c>
      <c r="E99" t="s">
        <v>37</v>
      </c>
      <c r="F99" t="s">
        <v>38</v>
      </c>
      <c r="G99" t="s">
        <v>39</v>
      </c>
      <c r="H99">
        <v>2023</v>
      </c>
      <c r="I99" t="s">
        <v>271</v>
      </c>
      <c r="J99" s="68"/>
      <c r="K99" s="68"/>
      <c r="L99" s="64"/>
      <c r="M99">
        <v>2023</v>
      </c>
      <c r="N99" s="68"/>
      <c r="O99" t="s">
        <v>45</v>
      </c>
      <c r="P99" s="9"/>
      <c r="Q99" s="69"/>
      <c r="R99" s="68" t="s">
        <v>383</v>
      </c>
      <c r="S99" s="70">
        <f t="shared" si="3"/>
        <v>845.10000000000036</v>
      </c>
    </row>
    <row r="100" spans="1:19" s="7" customFormat="1" x14ac:dyDescent="0.3">
      <c r="A100" s="7" t="s">
        <v>369</v>
      </c>
      <c r="C100" s="7" t="s">
        <v>370</v>
      </c>
      <c r="D100" t="s">
        <v>36</v>
      </c>
      <c r="E100" t="s">
        <v>37</v>
      </c>
      <c r="F100" t="s">
        <v>38</v>
      </c>
      <c r="G100" t="s">
        <v>39</v>
      </c>
      <c r="H100">
        <v>2023</v>
      </c>
      <c r="I100" t="s">
        <v>271</v>
      </c>
      <c r="J100" s="68"/>
      <c r="K100" s="68"/>
      <c r="L100" s="64"/>
      <c r="M100">
        <v>2023</v>
      </c>
      <c r="N100" s="68"/>
      <c r="O100" t="s">
        <v>45</v>
      </c>
      <c r="P100" s="9"/>
      <c r="Q100" s="69"/>
      <c r="R100" s="68" t="s">
        <v>384</v>
      </c>
      <c r="S100" s="70">
        <f t="shared" si="3"/>
        <v>413.69999999999993</v>
      </c>
    </row>
    <row r="101" spans="1:19" s="7" customFormat="1" x14ac:dyDescent="0.3">
      <c r="A101" s="7" t="s">
        <v>369</v>
      </c>
      <c r="C101" s="7" t="s">
        <v>370</v>
      </c>
      <c r="D101" t="s">
        <v>36</v>
      </c>
      <c r="E101" t="s">
        <v>37</v>
      </c>
      <c r="F101" t="s">
        <v>38</v>
      </c>
      <c r="G101" t="s">
        <v>39</v>
      </c>
      <c r="H101">
        <v>2023</v>
      </c>
      <c r="I101" t="s">
        <v>271</v>
      </c>
      <c r="J101" s="68"/>
      <c r="K101" s="68"/>
      <c r="L101" s="64"/>
      <c r="M101">
        <v>2023</v>
      </c>
      <c r="N101" s="68"/>
      <c r="O101" t="s">
        <v>45</v>
      </c>
      <c r="P101" s="9"/>
      <c r="Q101" t="s">
        <v>1272</v>
      </c>
      <c r="R101" s="68" t="s">
        <v>385</v>
      </c>
      <c r="S101" s="70">
        <f t="shared" si="3"/>
        <v>248.70000000000005</v>
      </c>
    </row>
    <row r="102" spans="1:19" s="7" customFormat="1" x14ac:dyDescent="0.3">
      <c r="A102" s="7" t="s">
        <v>369</v>
      </c>
      <c r="C102" s="7" t="s">
        <v>396</v>
      </c>
      <c r="D102" t="s">
        <v>36</v>
      </c>
      <c r="E102" t="s">
        <v>37</v>
      </c>
      <c r="F102" t="s">
        <v>38</v>
      </c>
      <c r="G102" t="s">
        <v>39</v>
      </c>
      <c r="H102">
        <v>2023</v>
      </c>
      <c r="I102" t="s">
        <v>271</v>
      </c>
      <c r="L102"/>
      <c r="M102">
        <v>2023</v>
      </c>
      <c r="O102" t="s">
        <v>45</v>
      </c>
      <c r="P102" s="9"/>
      <c r="Q102" t="s">
        <v>1273</v>
      </c>
      <c r="R102" s="7" t="s">
        <v>387</v>
      </c>
      <c r="S102" s="66">
        <v>457.3</v>
      </c>
    </row>
    <row r="103" spans="1:19" s="7" customFormat="1" x14ac:dyDescent="0.3">
      <c r="A103" s="7" t="s">
        <v>369</v>
      </c>
      <c r="C103" s="7" t="s">
        <v>396</v>
      </c>
      <c r="D103" t="s">
        <v>36</v>
      </c>
      <c r="E103" t="s">
        <v>37</v>
      </c>
      <c r="F103" t="s">
        <v>38</v>
      </c>
      <c r="G103" t="s">
        <v>39</v>
      </c>
      <c r="H103">
        <v>2023</v>
      </c>
      <c r="I103" t="s">
        <v>271</v>
      </c>
      <c r="L103"/>
      <c r="M103">
        <v>2023</v>
      </c>
      <c r="O103" t="s">
        <v>45</v>
      </c>
      <c r="P103" s="9"/>
      <c r="Q103" t="s">
        <v>1274</v>
      </c>
      <c r="R103" s="7" t="s">
        <v>388</v>
      </c>
      <c r="S103" s="66">
        <v>180.1</v>
      </c>
    </row>
    <row r="104" spans="1:19" s="7" customFormat="1" x14ac:dyDescent="0.3">
      <c r="A104" s="7" t="s">
        <v>369</v>
      </c>
      <c r="C104" s="7" t="s">
        <v>396</v>
      </c>
      <c r="D104" t="s">
        <v>36</v>
      </c>
      <c r="E104" t="s">
        <v>37</v>
      </c>
      <c r="F104" t="s">
        <v>38</v>
      </c>
      <c r="G104" t="s">
        <v>39</v>
      </c>
      <c r="H104">
        <v>2023</v>
      </c>
      <c r="I104" t="s">
        <v>271</v>
      </c>
      <c r="L104"/>
      <c r="M104">
        <v>2023</v>
      </c>
      <c r="O104" t="s">
        <v>45</v>
      </c>
      <c r="P104" s="9"/>
      <c r="Q104" t="s">
        <v>1275</v>
      </c>
      <c r="R104" s="7" t="s">
        <v>389</v>
      </c>
      <c r="S104" s="66">
        <v>6.1</v>
      </c>
    </row>
    <row r="105" spans="1:19" s="7" customFormat="1" x14ac:dyDescent="0.3">
      <c r="A105" s="7" t="s">
        <v>369</v>
      </c>
      <c r="C105" s="7" t="s">
        <v>396</v>
      </c>
      <c r="D105" t="s">
        <v>36</v>
      </c>
      <c r="E105" t="s">
        <v>37</v>
      </c>
      <c r="F105" t="s">
        <v>38</v>
      </c>
      <c r="G105" t="s">
        <v>39</v>
      </c>
      <c r="H105">
        <v>2023</v>
      </c>
      <c r="I105" t="s">
        <v>271</v>
      </c>
      <c r="L105"/>
      <c r="M105">
        <v>2023</v>
      </c>
      <c r="O105" t="s">
        <v>45</v>
      </c>
      <c r="P105" s="9"/>
      <c r="Q105" t="s">
        <v>1276</v>
      </c>
      <c r="R105" s="7" t="s">
        <v>390</v>
      </c>
      <c r="S105" s="66">
        <v>436.4</v>
      </c>
    </row>
    <row r="106" spans="1:19" s="7" customFormat="1" x14ac:dyDescent="0.3">
      <c r="A106" s="7" t="s">
        <v>369</v>
      </c>
      <c r="C106" s="7" t="s">
        <v>396</v>
      </c>
      <c r="D106" t="s">
        <v>36</v>
      </c>
      <c r="E106" t="s">
        <v>37</v>
      </c>
      <c r="F106" t="s">
        <v>38</v>
      </c>
      <c r="G106" t="s">
        <v>39</v>
      </c>
      <c r="H106">
        <v>2023</v>
      </c>
      <c r="I106" t="s">
        <v>271</v>
      </c>
      <c r="L106"/>
      <c r="M106">
        <v>2023</v>
      </c>
      <c r="O106" t="s">
        <v>45</v>
      </c>
      <c r="P106" s="9"/>
      <c r="Q106" t="s">
        <v>1277</v>
      </c>
      <c r="R106" s="7" t="s">
        <v>391</v>
      </c>
      <c r="S106" s="66">
        <v>126</v>
      </c>
    </row>
    <row r="107" spans="1:19" s="7" customFormat="1" x14ac:dyDescent="0.3">
      <c r="A107" s="7" t="s">
        <v>369</v>
      </c>
      <c r="C107" s="7" t="s">
        <v>396</v>
      </c>
      <c r="D107" t="s">
        <v>36</v>
      </c>
      <c r="E107" t="s">
        <v>37</v>
      </c>
      <c r="F107" t="s">
        <v>38</v>
      </c>
      <c r="G107" t="s">
        <v>39</v>
      </c>
      <c r="H107">
        <v>2023</v>
      </c>
      <c r="I107" t="s">
        <v>271</v>
      </c>
      <c r="L107"/>
      <c r="M107">
        <v>2023</v>
      </c>
      <c r="O107" t="s">
        <v>45</v>
      </c>
      <c r="P107" s="9"/>
      <c r="Q107" t="s">
        <v>1278</v>
      </c>
      <c r="R107" s="7" t="s">
        <v>392</v>
      </c>
      <c r="S107" s="66">
        <v>41.5</v>
      </c>
    </row>
    <row r="108" spans="1:19" s="7" customFormat="1" x14ac:dyDescent="0.3">
      <c r="A108" s="7" t="s">
        <v>369</v>
      </c>
      <c r="C108" s="7" t="s">
        <v>396</v>
      </c>
      <c r="D108" t="s">
        <v>36</v>
      </c>
      <c r="E108" t="s">
        <v>37</v>
      </c>
      <c r="F108" t="s">
        <v>38</v>
      </c>
      <c r="G108" t="s">
        <v>39</v>
      </c>
      <c r="H108">
        <v>2023</v>
      </c>
      <c r="I108" t="s">
        <v>271</v>
      </c>
      <c r="J108" s="68"/>
      <c r="K108" s="68"/>
      <c r="L108" s="64"/>
      <c r="M108">
        <v>2023</v>
      </c>
      <c r="N108" s="68"/>
      <c r="O108" t="s">
        <v>45</v>
      </c>
      <c r="P108" s="9"/>
      <c r="Q108" t="s">
        <v>1279</v>
      </c>
      <c r="R108" s="68" t="s">
        <v>393</v>
      </c>
      <c r="S108" s="70">
        <f>S104-S107</f>
        <v>-35.4</v>
      </c>
    </row>
    <row r="109" spans="1:19" s="7" customFormat="1" x14ac:dyDescent="0.3">
      <c r="A109" s="7" t="s">
        <v>369</v>
      </c>
      <c r="C109" s="7" t="s">
        <v>396</v>
      </c>
      <c r="D109" t="s">
        <v>36</v>
      </c>
      <c r="E109" t="s">
        <v>37</v>
      </c>
      <c r="F109" t="s">
        <v>38</v>
      </c>
      <c r="G109" t="s">
        <v>39</v>
      </c>
      <c r="H109">
        <v>2023</v>
      </c>
      <c r="I109" t="s">
        <v>271</v>
      </c>
      <c r="J109" s="68"/>
      <c r="K109" s="68"/>
      <c r="L109" s="64"/>
      <c r="M109">
        <v>2023</v>
      </c>
      <c r="N109" s="68"/>
      <c r="O109" t="s">
        <v>45</v>
      </c>
      <c r="P109" s="9"/>
      <c r="Q109" t="s">
        <v>1279</v>
      </c>
      <c r="R109" s="68" t="s">
        <v>394</v>
      </c>
      <c r="S109" s="70">
        <f>S103-S106</f>
        <v>54.099999999999994</v>
      </c>
    </row>
    <row r="110" spans="1:19" s="7" customFormat="1" x14ac:dyDescent="0.3">
      <c r="A110" s="7" t="s">
        <v>369</v>
      </c>
      <c r="C110" s="7" t="s">
        <v>396</v>
      </c>
      <c r="D110" t="s">
        <v>36</v>
      </c>
      <c r="E110" t="s">
        <v>37</v>
      </c>
      <c r="F110" t="s">
        <v>38</v>
      </c>
      <c r="G110" t="s">
        <v>39</v>
      </c>
      <c r="H110">
        <v>2023</v>
      </c>
      <c r="I110" t="s">
        <v>271</v>
      </c>
      <c r="J110" s="68"/>
      <c r="K110" s="68"/>
      <c r="L110" s="64"/>
      <c r="M110">
        <v>2023</v>
      </c>
      <c r="N110" s="68"/>
      <c r="O110" t="s">
        <v>45</v>
      </c>
      <c r="P110" s="9"/>
      <c r="Q110" t="s">
        <v>1279</v>
      </c>
      <c r="R110" s="68" t="s">
        <v>395</v>
      </c>
      <c r="S110" s="70">
        <f>S102-S105</f>
        <v>20.900000000000034</v>
      </c>
    </row>
    <row r="111" spans="1:19" s="7" customFormat="1" x14ac:dyDescent="0.3">
      <c r="A111" s="7" t="s">
        <v>369</v>
      </c>
      <c r="C111" s="7" t="s">
        <v>398</v>
      </c>
      <c r="D111" t="s">
        <v>36</v>
      </c>
      <c r="E111" t="s">
        <v>37</v>
      </c>
      <c r="F111" t="s">
        <v>38</v>
      </c>
      <c r="G111" t="s">
        <v>39</v>
      </c>
      <c r="H111">
        <v>2023</v>
      </c>
      <c r="I111" t="s">
        <v>271</v>
      </c>
      <c r="L111" s="64"/>
      <c r="M111">
        <v>2023</v>
      </c>
      <c r="O111" t="s">
        <v>45</v>
      </c>
      <c r="P111" s="9"/>
      <c r="Q111" t="s">
        <v>1280</v>
      </c>
      <c r="R111" s="7" t="s">
        <v>399</v>
      </c>
      <c r="S111" s="66">
        <v>2412.86</v>
      </c>
    </row>
    <row r="112" spans="1:19" s="7" customFormat="1" x14ac:dyDescent="0.3">
      <c r="A112" s="7" t="s">
        <v>369</v>
      </c>
      <c r="C112" s="7" t="s">
        <v>398</v>
      </c>
      <c r="D112" t="s">
        <v>36</v>
      </c>
      <c r="E112" t="s">
        <v>37</v>
      </c>
      <c r="F112" t="s">
        <v>38</v>
      </c>
      <c r="G112" t="s">
        <v>39</v>
      </c>
      <c r="H112">
        <v>2023</v>
      </c>
      <c r="I112" t="s">
        <v>271</v>
      </c>
      <c r="L112" s="64"/>
      <c r="M112">
        <v>2023</v>
      </c>
      <c r="O112" t="s">
        <v>45</v>
      </c>
      <c r="P112" s="9"/>
      <c r="Q112" t="s">
        <v>1281</v>
      </c>
      <c r="R112" s="7" t="s">
        <v>400</v>
      </c>
      <c r="S112" s="66">
        <v>9808.1309999999994</v>
      </c>
    </row>
    <row r="113" spans="1:21" s="7" customFormat="1" x14ac:dyDescent="0.3">
      <c r="A113" s="7" t="s">
        <v>369</v>
      </c>
      <c r="C113" s="7" t="s">
        <v>398</v>
      </c>
      <c r="D113" t="s">
        <v>36</v>
      </c>
      <c r="E113" t="s">
        <v>37</v>
      </c>
      <c r="F113" t="s">
        <v>38</v>
      </c>
      <c r="G113" t="s">
        <v>39</v>
      </c>
      <c r="H113">
        <v>2023</v>
      </c>
      <c r="I113" t="s">
        <v>271</v>
      </c>
      <c r="L113" s="64"/>
      <c r="M113">
        <v>2023</v>
      </c>
      <c r="O113" t="s">
        <v>45</v>
      </c>
      <c r="P113" s="9"/>
      <c r="Q113" t="s">
        <v>1282</v>
      </c>
      <c r="R113" s="7" t="s">
        <v>401</v>
      </c>
      <c r="S113" s="66">
        <v>2367.14</v>
      </c>
    </row>
    <row r="114" spans="1:21" s="7" customFormat="1" x14ac:dyDescent="0.3">
      <c r="A114" s="7" t="s">
        <v>369</v>
      </c>
      <c r="C114" s="7" t="s">
        <v>398</v>
      </c>
      <c r="D114" t="s">
        <v>36</v>
      </c>
      <c r="E114" t="s">
        <v>37</v>
      </c>
      <c r="F114" t="s">
        <v>38</v>
      </c>
      <c r="G114" t="s">
        <v>39</v>
      </c>
      <c r="H114">
        <v>2023</v>
      </c>
      <c r="I114" t="s">
        <v>271</v>
      </c>
      <c r="L114" s="64"/>
      <c r="M114">
        <v>2023</v>
      </c>
      <c r="O114" t="s">
        <v>45</v>
      </c>
      <c r="P114" s="9"/>
      <c r="Q114" t="s">
        <v>1283</v>
      </c>
      <c r="R114" s="7" t="s">
        <v>402</v>
      </c>
      <c r="S114" s="66">
        <v>846.1</v>
      </c>
      <c r="T114" s="154"/>
    </row>
    <row r="115" spans="1:21" s="7" customFormat="1" x14ac:dyDescent="0.3">
      <c r="A115" s="7" t="s">
        <v>369</v>
      </c>
      <c r="C115" s="7" t="s">
        <v>398</v>
      </c>
      <c r="D115" t="s">
        <v>36</v>
      </c>
      <c r="E115" t="s">
        <v>37</v>
      </c>
      <c r="F115" t="s">
        <v>38</v>
      </c>
      <c r="G115" t="s">
        <v>39</v>
      </c>
      <c r="H115">
        <v>2023</v>
      </c>
      <c r="I115" t="s">
        <v>271</v>
      </c>
      <c r="L115" s="64"/>
      <c r="M115">
        <v>2023</v>
      </c>
      <c r="O115" t="s">
        <v>45</v>
      </c>
      <c r="P115" s="9"/>
      <c r="Q115" t="s">
        <v>1284</v>
      </c>
      <c r="R115" s="7" t="s">
        <v>403</v>
      </c>
      <c r="S115" s="66">
        <v>215.77</v>
      </c>
    </row>
    <row r="116" spans="1:21" s="7" customFormat="1" x14ac:dyDescent="0.3">
      <c r="A116" s="7" t="s">
        <v>369</v>
      </c>
      <c r="C116" s="7" t="s">
        <v>398</v>
      </c>
      <c r="D116" t="s">
        <v>36</v>
      </c>
      <c r="E116" t="s">
        <v>37</v>
      </c>
      <c r="F116" t="s">
        <v>38</v>
      </c>
      <c r="G116" t="s">
        <v>39</v>
      </c>
      <c r="H116">
        <v>2023</v>
      </c>
      <c r="I116" t="s">
        <v>271</v>
      </c>
      <c r="L116" s="64"/>
      <c r="M116">
        <v>2023</v>
      </c>
      <c r="O116" t="s">
        <v>45</v>
      </c>
      <c r="P116" s="9"/>
      <c r="Q116" t="s">
        <v>1285</v>
      </c>
      <c r="R116" s="7" t="s">
        <v>404</v>
      </c>
      <c r="S116" s="66">
        <v>4751.88</v>
      </c>
    </row>
    <row r="117" spans="1:21" s="7" customFormat="1" x14ac:dyDescent="0.3">
      <c r="A117" s="7" t="s">
        <v>369</v>
      </c>
      <c r="C117" s="7" t="s">
        <v>398</v>
      </c>
      <c r="D117" t="s">
        <v>36</v>
      </c>
      <c r="E117" t="s">
        <v>37</v>
      </c>
      <c r="F117" t="s">
        <v>38</v>
      </c>
      <c r="G117" t="s">
        <v>39</v>
      </c>
      <c r="H117">
        <v>2023</v>
      </c>
      <c r="I117" t="s">
        <v>271</v>
      </c>
      <c r="L117" s="64"/>
      <c r="M117">
        <v>2023</v>
      </c>
      <c r="O117" t="s">
        <v>45</v>
      </c>
      <c r="P117" s="9"/>
      <c r="Q117" t="s">
        <v>1286</v>
      </c>
      <c r="R117" s="7" t="s">
        <v>405</v>
      </c>
      <c r="S117" s="66">
        <v>1538.28</v>
      </c>
    </row>
    <row r="118" spans="1:21" s="7" customFormat="1" x14ac:dyDescent="0.3">
      <c r="A118" s="7" t="s">
        <v>369</v>
      </c>
      <c r="C118" s="7" t="s">
        <v>398</v>
      </c>
      <c r="D118" t="s">
        <v>36</v>
      </c>
      <c r="E118" t="s">
        <v>37</v>
      </c>
      <c r="F118" t="s">
        <v>38</v>
      </c>
      <c r="G118" t="s">
        <v>39</v>
      </c>
      <c r="H118">
        <v>2023</v>
      </c>
      <c r="I118" t="s">
        <v>271</v>
      </c>
      <c r="L118" s="64"/>
      <c r="M118">
        <v>2023</v>
      </c>
      <c r="O118" t="s">
        <v>45</v>
      </c>
      <c r="P118" s="9"/>
      <c r="Q118" t="s">
        <v>1287</v>
      </c>
      <c r="R118" s="7" t="s">
        <v>406</v>
      </c>
      <c r="S118" s="66">
        <v>15325.8</v>
      </c>
      <c r="T118" s="154"/>
    </row>
    <row r="119" spans="1:21" s="7" customFormat="1" x14ac:dyDescent="0.3">
      <c r="A119" s="7" t="s">
        <v>369</v>
      </c>
      <c r="C119" s="7" t="s">
        <v>398</v>
      </c>
      <c r="D119" t="s">
        <v>36</v>
      </c>
      <c r="E119" t="s">
        <v>37</v>
      </c>
      <c r="F119" t="s">
        <v>38</v>
      </c>
      <c r="G119" t="s">
        <v>39</v>
      </c>
      <c r="H119">
        <v>2023</v>
      </c>
      <c r="I119" t="s">
        <v>271</v>
      </c>
      <c r="L119" s="64"/>
      <c r="M119">
        <v>2023</v>
      </c>
      <c r="O119" t="s">
        <v>45</v>
      </c>
      <c r="P119" s="9"/>
      <c r="Q119" t="s">
        <v>1288</v>
      </c>
      <c r="R119" s="7" t="s">
        <v>407</v>
      </c>
      <c r="S119" s="66">
        <v>14047.495000000001</v>
      </c>
    </row>
    <row r="120" spans="1:21" s="7" customFormat="1" x14ac:dyDescent="0.3">
      <c r="A120" s="7" t="s">
        <v>369</v>
      </c>
      <c r="C120" s="7" t="s">
        <v>398</v>
      </c>
      <c r="D120" t="s">
        <v>36</v>
      </c>
      <c r="E120" t="s">
        <v>37</v>
      </c>
      <c r="F120" t="s">
        <v>38</v>
      </c>
      <c r="G120" t="s">
        <v>39</v>
      </c>
      <c r="H120">
        <v>2023</v>
      </c>
      <c r="I120" t="s">
        <v>271</v>
      </c>
      <c r="L120" s="64"/>
      <c r="M120">
        <v>2023</v>
      </c>
      <c r="O120" t="s">
        <v>45</v>
      </c>
      <c r="P120" s="9"/>
      <c r="Q120" t="s">
        <v>1289</v>
      </c>
      <c r="R120" s="7" t="s">
        <v>408</v>
      </c>
      <c r="S120" s="66">
        <v>5737.6959999999999</v>
      </c>
    </row>
    <row r="121" spans="1:21" s="7" customFormat="1" x14ac:dyDescent="0.3">
      <c r="A121" s="7" t="s">
        <v>369</v>
      </c>
      <c r="C121" s="7" t="s">
        <v>398</v>
      </c>
      <c r="D121" t="s">
        <v>36</v>
      </c>
      <c r="E121" t="s">
        <v>37</v>
      </c>
      <c r="F121" t="s">
        <v>38</v>
      </c>
      <c r="G121" t="s">
        <v>39</v>
      </c>
      <c r="H121">
        <v>2023</v>
      </c>
      <c r="I121" t="s">
        <v>271</v>
      </c>
      <c r="L121" s="64"/>
      <c r="M121">
        <v>2023</v>
      </c>
      <c r="O121" t="s">
        <v>45</v>
      </c>
      <c r="P121" s="9"/>
      <c r="Q121" t="s">
        <v>1290</v>
      </c>
      <c r="R121" s="7" t="s">
        <v>409</v>
      </c>
      <c r="S121" s="66">
        <v>4546.1180000000004</v>
      </c>
    </row>
    <row r="122" spans="1:21" s="7" customFormat="1" x14ac:dyDescent="0.3">
      <c r="A122" s="7" t="s">
        <v>369</v>
      </c>
      <c r="C122" s="7" t="s">
        <v>398</v>
      </c>
      <c r="D122" t="s">
        <v>36</v>
      </c>
      <c r="E122" t="s">
        <v>37</v>
      </c>
      <c r="F122" t="s">
        <v>38</v>
      </c>
      <c r="G122" t="s">
        <v>39</v>
      </c>
      <c r="H122">
        <v>2023</v>
      </c>
      <c r="I122" t="s">
        <v>271</v>
      </c>
      <c r="L122" s="64"/>
      <c r="M122">
        <v>2023</v>
      </c>
      <c r="O122" t="s">
        <v>45</v>
      </c>
      <c r="P122" s="9"/>
      <c r="Q122" t="s">
        <v>1291</v>
      </c>
      <c r="R122" s="7" t="s">
        <v>410</v>
      </c>
      <c r="S122" s="66">
        <v>2657.55</v>
      </c>
      <c r="T122" s="154"/>
      <c r="U122" s="154"/>
    </row>
    <row r="123" spans="1:21" s="7" customFormat="1" x14ac:dyDescent="0.3">
      <c r="A123" s="7" t="s">
        <v>369</v>
      </c>
      <c r="C123" s="7" t="s">
        <v>398</v>
      </c>
      <c r="D123" t="s">
        <v>36</v>
      </c>
      <c r="E123" t="s">
        <v>37</v>
      </c>
      <c r="F123" t="s">
        <v>38</v>
      </c>
      <c r="G123" t="s">
        <v>39</v>
      </c>
      <c r="H123">
        <v>2023</v>
      </c>
      <c r="I123" t="s">
        <v>271</v>
      </c>
      <c r="J123" s="68"/>
      <c r="K123" s="68"/>
      <c r="L123" s="64"/>
      <c r="M123">
        <v>2023</v>
      </c>
      <c r="N123" s="68"/>
      <c r="O123" t="s">
        <v>45</v>
      </c>
      <c r="P123" s="9"/>
      <c r="Q123" t="s">
        <v>1292</v>
      </c>
      <c r="R123" s="68" t="s">
        <v>411</v>
      </c>
      <c r="S123" s="70">
        <f>((S112-S111)/S111)*100</f>
        <v>306.49399467851424</v>
      </c>
      <c r="T123" s="154"/>
    </row>
    <row r="124" spans="1:21" s="7" customFormat="1" x14ac:dyDescent="0.3">
      <c r="A124" s="7" t="s">
        <v>369</v>
      </c>
      <c r="C124" s="7" t="s">
        <v>398</v>
      </c>
      <c r="D124" t="s">
        <v>36</v>
      </c>
      <c r="E124" t="s">
        <v>37</v>
      </c>
      <c r="F124" t="s">
        <v>38</v>
      </c>
      <c r="G124" t="s">
        <v>39</v>
      </c>
      <c r="H124">
        <v>2023</v>
      </c>
      <c r="I124" t="s">
        <v>271</v>
      </c>
      <c r="J124" s="68"/>
      <c r="K124" s="68"/>
      <c r="L124" s="64"/>
      <c r="M124">
        <v>2023</v>
      </c>
      <c r="N124" s="68"/>
      <c r="O124" t="s">
        <v>45</v>
      </c>
      <c r="P124" s="9"/>
      <c r="Q124" t="s">
        <v>1292</v>
      </c>
      <c r="R124" s="68" t="s">
        <v>412</v>
      </c>
      <c r="S124" s="70">
        <f t="shared" ref="S124:S125" si="4">((S113-S112)/S112)*100</f>
        <v>-75.865534422409326</v>
      </c>
      <c r="T124" s="154"/>
    </row>
    <row r="125" spans="1:21" s="7" customFormat="1" x14ac:dyDescent="0.3">
      <c r="A125" s="7" t="s">
        <v>369</v>
      </c>
      <c r="C125" s="7" t="s">
        <v>398</v>
      </c>
      <c r="D125" t="s">
        <v>36</v>
      </c>
      <c r="E125" t="s">
        <v>37</v>
      </c>
      <c r="F125" t="s">
        <v>38</v>
      </c>
      <c r="G125" t="s">
        <v>39</v>
      </c>
      <c r="H125">
        <v>2023</v>
      </c>
      <c r="I125" t="s">
        <v>271</v>
      </c>
      <c r="J125" s="68"/>
      <c r="K125" s="68"/>
      <c r="L125" s="64"/>
      <c r="M125">
        <v>2023</v>
      </c>
      <c r="N125" s="68"/>
      <c r="O125" t="s">
        <v>45</v>
      </c>
      <c r="P125" s="9"/>
      <c r="Q125" t="s">
        <v>1292</v>
      </c>
      <c r="R125" s="68" t="s">
        <v>413</v>
      </c>
      <c r="S125" s="70">
        <f t="shared" si="4"/>
        <v>-64.256444485750734</v>
      </c>
      <c r="T125" s="154"/>
      <c r="U125" s="154"/>
    </row>
    <row r="126" spans="1:21" s="7" customFormat="1" x14ac:dyDescent="0.3">
      <c r="A126" s="7" t="s">
        <v>369</v>
      </c>
      <c r="C126" s="7" t="s">
        <v>398</v>
      </c>
      <c r="D126" t="s">
        <v>36</v>
      </c>
      <c r="E126" t="s">
        <v>37</v>
      </c>
      <c r="F126" t="s">
        <v>38</v>
      </c>
      <c r="G126" t="s">
        <v>39</v>
      </c>
      <c r="H126">
        <v>2023</v>
      </c>
      <c r="I126" t="s">
        <v>271</v>
      </c>
      <c r="J126" s="68"/>
      <c r="K126" s="68"/>
      <c r="L126" s="64"/>
      <c r="M126">
        <v>2023</v>
      </c>
      <c r="N126" s="68"/>
      <c r="O126" t="s">
        <v>45</v>
      </c>
      <c r="P126" s="9"/>
      <c r="Q126" t="s">
        <v>1292</v>
      </c>
      <c r="R126" s="68" t="s">
        <v>414</v>
      </c>
      <c r="S126" s="70">
        <f>((S116-S115)/S115)*100</f>
        <v>2102.2894749038323</v>
      </c>
    </row>
    <row r="127" spans="1:21" s="7" customFormat="1" x14ac:dyDescent="0.3">
      <c r="A127" s="7" t="s">
        <v>369</v>
      </c>
      <c r="C127" s="7" t="s">
        <v>398</v>
      </c>
      <c r="D127" t="s">
        <v>36</v>
      </c>
      <c r="E127" t="s">
        <v>37</v>
      </c>
      <c r="F127" t="s">
        <v>38</v>
      </c>
      <c r="G127" t="s">
        <v>39</v>
      </c>
      <c r="H127">
        <v>2023</v>
      </c>
      <c r="I127" t="s">
        <v>271</v>
      </c>
      <c r="J127" s="68"/>
      <c r="K127" s="68"/>
      <c r="L127" s="64"/>
      <c r="M127">
        <v>2023</v>
      </c>
      <c r="N127" s="68"/>
      <c r="O127" t="s">
        <v>45</v>
      </c>
      <c r="P127" s="9"/>
      <c r="Q127" t="s">
        <v>1292</v>
      </c>
      <c r="R127" s="68" t="s">
        <v>415</v>
      </c>
      <c r="S127" s="70">
        <f t="shared" ref="S127:S128" si="5">((S117-S116)/S116)*100</f>
        <v>-67.62797040329302</v>
      </c>
    </row>
    <row r="128" spans="1:21" s="7" customFormat="1" x14ac:dyDescent="0.3">
      <c r="A128" s="7" t="s">
        <v>369</v>
      </c>
      <c r="C128" s="7" t="s">
        <v>398</v>
      </c>
      <c r="D128" t="s">
        <v>36</v>
      </c>
      <c r="E128" t="s">
        <v>37</v>
      </c>
      <c r="F128" t="s">
        <v>38</v>
      </c>
      <c r="G128" t="s">
        <v>39</v>
      </c>
      <c r="H128">
        <v>2023</v>
      </c>
      <c r="I128" t="s">
        <v>271</v>
      </c>
      <c r="J128" s="68"/>
      <c r="K128" s="68"/>
      <c r="L128" s="64"/>
      <c r="M128">
        <v>2023</v>
      </c>
      <c r="N128" s="68"/>
      <c r="O128" t="s">
        <v>45</v>
      </c>
      <c r="P128" s="9"/>
      <c r="Q128" t="s">
        <v>1292</v>
      </c>
      <c r="R128" s="68" t="s">
        <v>416</v>
      </c>
      <c r="S128" s="70">
        <f t="shared" si="5"/>
        <v>896.29456275840539</v>
      </c>
    </row>
    <row r="129" spans="1:20" s="7" customFormat="1" x14ac:dyDescent="0.3">
      <c r="A129" s="7" t="s">
        <v>369</v>
      </c>
      <c r="C129" s="7" t="s">
        <v>398</v>
      </c>
      <c r="D129" t="s">
        <v>36</v>
      </c>
      <c r="E129" t="s">
        <v>37</v>
      </c>
      <c r="F129" t="s">
        <v>38</v>
      </c>
      <c r="G129" t="s">
        <v>39</v>
      </c>
      <c r="H129">
        <v>2023</v>
      </c>
      <c r="I129" t="s">
        <v>271</v>
      </c>
      <c r="J129" s="68"/>
      <c r="K129" s="68"/>
      <c r="L129" s="64"/>
      <c r="M129">
        <v>2023</v>
      </c>
      <c r="N129" s="68"/>
      <c r="O129" t="s">
        <v>45</v>
      </c>
      <c r="P129" s="9"/>
      <c r="Q129" t="s">
        <v>1292</v>
      </c>
      <c r="R129" s="68" t="s">
        <v>417</v>
      </c>
      <c r="S129" s="70">
        <f>((S120-S119)/S119)*100</f>
        <v>-59.155023724870524</v>
      </c>
    </row>
    <row r="130" spans="1:20" s="7" customFormat="1" x14ac:dyDescent="0.3">
      <c r="A130" s="7" t="s">
        <v>369</v>
      </c>
      <c r="C130" s="7" t="s">
        <v>398</v>
      </c>
      <c r="D130" t="s">
        <v>36</v>
      </c>
      <c r="E130" t="s">
        <v>37</v>
      </c>
      <c r="F130" t="s">
        <v>38</v>
      </c>
      <c r="G130" t="s">
        <v>39</v>
      </c>
      <c r="H130">
        <v>2023</v>
      </c>
      <c r="I130" t="s">
        <v>271</v>
      </c>
      <c r="J130" s="68"/>
      <c r="K130" s="68"/>
      <c r="L130" s="64"/>
      <c r="M130">
        <v>2023</v>
      </c>
      <c r="N130" s="68"/>
      <c r="O130" t="s">
        <v>45</v>
      </c>
      <c r="P130" s="9"/>
      <c r="Q130" t="s">
        <v>1292</v>
      </c>
      <c r="R130" s="68" t="s">
        <v>418</v>
      </c>
      <c r="S130" s="70">
        <f t="shared" ref="S130:S131" si="6">((S121-S120)/S120)*100</f>
        <v>-20.767534564396573</v>
      </c>
    </row>
    <row r="131" spans="1:20" s="7" customFormat="1" x14ac:dyDescent="0.3">
      <c r="A131" s="7" t="s">
        <v>369</v>
      </c>
      <c r="C131" s="7" t="s">
        <v>398</v>
      </c>
      <c r="D131" t="s">
        <v>36</v>
      </c>
      <c r="E131" t="s">
        <v>37</v>
      </c>
      <c r="F131" t="s">
        <v>38</v>
      </c>
      <c r="G131" t="s">
        <v>39</v>
      </c>
      <c r="H131">
        <v>2023</v>
      </c>
      <c r="I131" t="s">
        <v>271</v>
      </c>
      <c r="J131" s="68"/>
      <c r="K131" s="68"/>
      <c r="L131" s="64"/>
      <c r="M131">
        <v>2023</v>
      </c>
      <c r="N131" s="68"/>
      <c r="O131" t="s">
        <v>45</v>
      </c>
      <c r="P131" s="9"/>
      <c r="Q131" t="s">
        <v>1292</v>
      </c>
      <c r="R131" s="68" t="s">
        <v>419</v>
      </c>
      <c r="S131" s="70">
        <f t="shared" si="6"/>
        <v>-41.54243246655718</v>
      </c>
      <c r="T131" s="154"/>
    </row>
    <row r="132" spans="1:20" s="7" customFormat="1" x14ac:dyDescent="0.3">
      <c r="A132" s="7" t="s">
        <v>369</v>
      </c>
      <c r="C132" s="8" t="s">
        <v>421</v>
      </c>
      <c r="D132" t="s">
        <v>36</v>
      </c>
      <c r="E132" t="s">
        <v>37</v>
      </c>
      <c r="F132" t="s">
        <v>38</v>
      </c>
      <c r="G132" t="s">
        <v>39</v>
      </c>
      <c r="H132">
        <v>2023</v>
      </c>
      <c r="I132" t="s">
        <v>271</v>
      </c>
      <c r="L132"/>
      <c r="M132">
        <v>2023</v>
      </c>
      <c r="O132" t="s">
        <v>45</v>
      </c>
      <c r="P132" s="9"/>
      <c r="Q132" t="s">
        <v>1293</v>
      </c>
      <c r="R132" s="7" t="s">
        <v>422</v>
      </c>
      <c r="S132" s="66">
        <v>871251.54</v>
      </c>
      <c r="T132" s="154"/>
    </row>
    <row r="133" spans="1:20" s="7" customFormat="1" x14ac:dyDescent="0.3">
      <c r="A133" s="7" t="s">
        <v>369</v>
      </c>
      <c r="C133" s="8" t="s">
        <v>421</v>
      </c>
      <c r="D133" t="s">
        <v>36</v>
      </c>
      <c r="E133" t="s">
        <v>37</v>
      </c>
      <c r="F133" t="s">
        <v>38</v>
      </c>
      <c r="G133" t="s">
        <v>39</v>
      </c>
      <c r="H133">
        <v>2023</v>
      </c>
      <c r="I133" t="s">
        <v>271</v>
      </c>
      <c r="L133"/>
      <c r="M133">
        <v>2023</v>
      </c>
      <c r="O133" t="s">
        <v>45</v>
      </c>
      <c r="P133" s="9"/>
      <c r="Q133" t="s">
        <v>1293</v>
      </c>
      <c r="R133" s="7" t="s">
        <v>472</v>
      </c>
      <c r="S133" s="66">
        <v>235004.15</v>
      </c>
      <c r="T133" s="154"/>
    </row>
    <row r="134" spans="1:20" s="7" customFormat="1" x14ac:dyDescent="0.3">
      <c r="A134" s="7" t="s">
        <v>369</v>
      </c>
      <c r="C134" s="8" t="s">
        <v>421</v>
      </c>
      <c r="D134" t="s">
        <v>36</v>
      </c>
      <c r="E134" t="s">
        <v>37</v>
      </c>
      <c r="F134" t="s">
        <v>38</v>
      </c>
      <c r="G134" t="s">
        <v>39</v>
      </c>
      <c r="H134">
        <v>2023</v>
      </c>
      <c r="I134" t="s">
        <v>271</v>
      </c>
      <c r="L134"/>
      <c r="M134">
        <v>2023</v>
      </c>
      <c r="O134" t="s">
        <v>45</v>
      </c>
      <c r="P134" s="9"/>
      <c r="Q134" t="s">
        <v>1293</v>
      </c>
      <c r="R134" s="7" t="s">
        <v>473</v>
      </c>
      <c r="S134" s="66">
        <v>1750899.24</v>
      </c>
      <c r="T134" s="154"/>
    </row>
    <row r="135" spans="1:20" s="7" customFormat="1" x14ac:dyDescent="0.3">
      <c r="A135" s="7" t="s">
        <v>369</v>
      </c>
      <c r="C135" s="8" t="s">
        <v>421</v>
      </c>
      <c r="D135" t="s">
        <v>36</v>
      </c>
      <c r="E135" t="s">
        <v>37</v>
      </c>
      <c r="F135" t="s">
        <v>38</v>
      </c>
      <c r="G135" t="s">
        <v>39</v>
      </c>
      <c r="H135">
        <v>2023</v>
      </c>
      <c r="I135" t="s">
        <v>271</v>
      </c>
      <c r="L135"/>
      <c r="M135">
        <v>2023</v>
      </c>
      <c r="O135" t="s">
        <v>45</v>
      </c>
      <c r="P135" s="9"/>
      <c r="Q135" t="s">
        <v>1294</v>
      </c>
      <c r="R135" s="7" t="s">
        <v>423</v>
      </c>
      <c r="S135" s="66">
        <f>SUM(S132:S134)</f>
        <v>2857154.9299999997</v>
      </c>
      <c r="T135" s="154"/>
    </row>
    <row r="136" spans="1:20" s="7" customFormat="1" x14ac:dyDescent="0.3">
      <c r="A136" s="7" t="s">
        <v>369</v>
      </c>
      <c r="C136" s="8" t="s">
        <v>421</v>
      </c>
      <c r="D136" t="s">
        <v>36</v>
      </c>
      <c r="E136" t="s">
        <v>37</v>
      </c>
      <c r="F136" t="s">
        <v>38</v>
      </c>
      <c r="G136" t="s">
        <v>39</v>
      </c>
      <c r="H136">
        <v>2023</v>
      </c>
      <c r="I136" t="s">
        <v>271</v>
      </c>
      <c r="L136"/>
      <c r="M136">
        <v>2023</v>
      </c>
      <c r="O136" t="s">
        <v>45</v>
      </c>
      <c r="P136" s="9"/>
      <c r="Q136" t="s">
        <v>1295</v>
      </c>
      <c r="R136" s="7" t="s">
        <v>424</v>
      </c>
      <c r="S136" s="66">
        <v>84561.53</v>
      </c>
      <c r="T136" s="154"/>
    </row>
    <row r="137" spans="1:20" s="7" customFormat="1" x14ac:dyDescent="0.3">
      <c r="A137" s="7" t="s">
        <v>369</v>
      </c>
      <c r="C137" s="8" t="s">
        <v>421</v>
      </c>
      <c r="D137" t="s">
        <v>36</v>
      </c>
      <c r="E137" t="s">
        <v>37</v>
      </c>
      <c r="F137" t="s">
        <v>38</v>
      </c>
      <c r="G137" t="s">
        <v>39</v>
      </c>
      <c r="H137">
        <v>2023</v>
      </c>
      <c r="I137" t="s">
        <v>271</v>
      </c>
      <c r="L137"/>
      <c r="M137">
        <v>2023</v>
      </c>
      <c r="O137" t="s">
        <v>45</v>
      </c>
      <c r="P137" s="9"/>
      <c r="Q137" t="s">
        <v>1295</v>
      </c>
      <c r="R137" s="7" t="s">
        <v>439</v>
      </c>
      <c r="S137" s="66">
        <v>35097.71</v>
      </c>
      <c r="T137" s="154"/>
    </row>
    <row r="138" spans="1:20" s="7" customFormat="1" x14ac:dyDescent="0.3">
      <c r="A138" s="7" t="s">
        <v>369</v>
      </c>
      <c r="C138" s="8" t="s">
        <v>421</v>
      </c>
      <c r="D138" t="s">
        <v>36</v>
      </c>
      <c r="E138" t="s">
        <v>37</v>
      </c>
      <c r="F138" t="s">
        <v>38</v>
      </c>
      <c r="G138" t="s">
        <v>39</v>
      </c>
      <c r="H138">
        <v>2023</v>
      </c>
      <c r="I138" t="s">
        <v>271</v>
      </c>
      <c r="L138"/>
      <c r="M138">
        <v>2023</v>
      </c>
      <c r="O138" t="s">
        <v>45</v>
      </c>
      <c r="P138" s="9"/>
      <c r="Q138" t="s">
        <v>1295</v>
      </c>
      <c r="R138" s="7" t="s">
        <v>440</v>
      </c>
      <c r="S138" s="66">
        <v>199089.18</v>
      </c>
      <c r="T138" s="154"/>
    </row>
    <row r="139" spans="1:20" s="7" customFormat="1" x14ac:dyDescent="0.3">
      <c r="A139" s="7" t="s">
        <v>369</v>
      </c>
      <c r="C139" s="8" t="s">
        <v>421</v>
      </c>
      <c r="D139" t="s">
        <v>36</v>
      </c>
      <c r="E139" t="s">
        <v>37</v>
      </c>
      <c r="F139" t="s">
        <v>38</v>
      </c>
      <c r="G139" t="s">
        <v>39</v>
      </c>
      <c r="H139">
        <v>2023</v>
      </c>
      <c r="I139" t="s">
        <v>271</v>
      </c>
      <c r="L139"/>
      <c r="M139">
        <v>2023</v>
      </c>
      <c r="O139" t="s">
        <v>45</v>
      </c>
      <c r="P139" s="9"/>
      <c r="Q139" t="s">
        <v>1295</v>
      </c>
      <c r="R139" s="7" t="s">
        <v>441</v>
      </c>
      <c r="S139" s="66">
        <v>288791.90999999997</v>
      </c>
      <c r="T139" s="154"/>
    </row>
    <row r="140" spans="1:20" s="7" customFormat="1" x14ac:dyDescent="0.3">
      <c r="A140" s="7" t="s">
        <v>369</v>
      </c>
      <c r="C140" s="8" t="s">
        <v>421</v>
      </c>
      <c r="D140" t="s">
        <v>36</v>
      </c>
      <c r="E140" t="s">
        <v>37</v>
      </c>
      <c r="F140" t="s">
        <v>38</v>
      </c>
      <c r="G140" t="s">
        <v>39</v>
      </c>
      <c r="H140">
        <v>2023</v>
      </c>
      <c r="I140" t="s">
        <v>271</v>
      </c>
      <c r="L140"/>
      <c r="M140">
        <v>2023</v>
      </c>
      <c r="O140" t="s">
        <v>45</v>
      </c>
      <c r="P140" s="9"/>
      <c r="Q140" t="s">
        <v>1295</v>
      </c>
      <c r="R140" s="7" t="s">
        <v>425</v>
      </c>
      <c r="S140" s="66">
        <v>107941.9</v>
      </c>
      <c r="T140" s="154"/>
    </row>
    <row r="141" spans="1:20" s="7" customFormat="1" x14ac:dyDescent="0.3">
      <c r="A141" s="7" t="s">
        <v>369</v>
      </c>
      <c r="C141" s="8" t="s">
        <v>421</v>
      </c>
      <c r="D141" t="s">
        <v>36</v>
      </c>
      <c r="E141" t="s">
        <v>37</v>
      </c>
      <c r="F141" t="s">
        <v>38</v>
      </c>
      <c r="G141" t="s">
        <v>39</v>
      </c>
      <c r="H141">
        <v>2023</v>
      </c>
      <c r="I141" t="s">
        <v>271</v>
      </c>
      <c r="L141"/>
      <c r="M141">
        <v>2023</v>
      </c>
      <c r="O141" t="s">
        <v>45</v>
      </c>
      <c r="P141" s="9"/>
      <c r="Q141" t="s">
        <v>1295</v>
      </c>
      <c r="R141" s="7" t="s">
        <v>442</v>
      </c>
      <c r="S141" s="66">
        <v>396772.81</v>
      </c>
      <c r="T141" s="154"/>
    </row>
    <row r="142" spans="1:20" s="7" customFormat="1" x14ac:dyDescent="0.3">
      <c r="A142" s="7" t="s">
        <v>369</v>
      </c>
      <c r="C142" s="8" t="s">
        <v>421</v>
      </c>
      <c r="D142" t="s">
        <v>36</v>
      </c>
      <c r="E142" t="s">
        <v>37</v>
      </c>
      <c r="F142" t="s">
        <v>38</v>
      </c>
      <c r="G142" t="s">
        <v>39</v>
      </c>
      <c r="H142">
        <v>2023</v>
      </c>
      <c r="I142" t="s">
        <v>271</v>
      </c>
      <c r="L142"/>
      <c r="M142">
        <v>2023</v>
      </c>
      <c r="O142" t="s">
        <v>45</v>
      </c>
      <c r="P142" s="9"/>
      <c r="Q142" t="s">
        <v>1295</v>
      </c>
      <c r="R142" s="7" t="s">
        <v>443</v>
      </c>
      <c r="S142" s="66">
        <v>159450.54</v>
      </c>
      <c r="T142" s="154"/>
    </row>
    <row r="143" spans="1:20" s="7" customFormat="1" x14ac:dyDescent="0.3">
      <c r="A143" s="7" t="s">
        <v>369</v>
      </c>
      <c r="C143" s="8" t="s">
        <v>421</v>
      </c>
      <c r="D143" t="s">
        <v>36</v>
      </c>
      <c r="E143" t="s">
        <v>37</v>
      </c>
      <c r="F143" t="s">
        <v>38</v>
      </c>
      <c r="G143" t="s">
        <v>39</v>
      </c>
      <c r="H143">
        <v>2023</v>
      </c>
      <c r="I143" t="s">
        <v>271</v>
      </c>
      <c r="L143"/>
      <c r="M143">
        <v>2023</v>
      </c>
      <c r="O143" t="s">
        <v>45</v>
      </c>
      <c r="P143" s="9"/>
      <c r="Q143" t="s">
        <v>1295</v>
      </c>
      <c r="R143" s="7" t="s">
        <v>444</v>
      </c>
      <c r="S143" s="66">
        <v>26470.93</v>
      </c>
      <c r="T143" s="154"/>
    </row>
    <row r="144" spans="1:20" s="7" customFormat="1" x14ac:dyDescent="0.3">
      <c r="A144" s="7" t="s">
        <v>369</v>
      </c>
      <c r="C144" s="8" t="s">
        <v>421</v>
      </c>
      <c r="D144" t="s">
        <v>36</v>
      </c>
      <c r="E144" t="s">
        <v>37</v>
      </c>
      <c r="F144" t="s">
        <v>38</v>
      </c>
      <c r="G144" t="s">
        <v>39</v>
      </c>
      <c r="H144">
        <v>2023</v>
      </c>
      <c r="I144" t="s">
        <v>271</v>
      </c>
      <c r="L144"/>
      <c r="M144">
        <v>2023</v>
      </c>
      <c r="O144" t="s">
        <v>45</v>
      </c>
      <c r="P144" s="9"/>
      <c r="Q144" t="s">
        <v>1295</v>
      </c>
      <c r="R144" s="7" t="s">
        <v>429</v>
      </c>
      <c r="S144" s="66">
        <v>362855.98</v>
      </c>
      <c r="T144" s="154"/>
    </row>
    <row r="145" spans="1:20" s="7" customFormat="1" x14ac:dyDescent="0.3">
      <c r="A145" s="7" t="s">
        <v>369</v>
      </c>
      <c r="C145" s="8" t="s">
        <v>421</v>
      </c>
      <c r="D145" t="s">
        <v>36</v>
      </c>
      <c r="E145" t="s">
        <v>37</v>
      </c>
      <c r="F145" t="s">
        <v>38</v>
      </c>
      <c r="G145" t="s">
        <v>39</v>
      </c>
      <c r="H145">
        <v>2023</v>
      </c>
      <c r="I145" t="s">
        <v>271</v>
      </c>
      <c r="L145"/>
      <c r="M145">
        <v>2023</v>
      </c>
      <c r="O145" t="s">
        <v>45</v>
      </c>
      <c r="P145" s="9"/>
      <c r="Q145" t="s">
        <v>1296</v>
      </c>
      <c r="R145" s="7" t="s">
        <v>458</v>
      </c>
      <c r="S145" s="66">
        <v>799193.38</v>
      </c>
      <c r="T145" s="154"/>
    </row>
    <row r="146" spans="1:20" s="7" customFormat="1" x14ac:dyDescent="0.3">
      <c r="A146" s="7" t="s">
        <v>369</v>
      </c>
      <c r="C146" s="8" t="s">
        <v>421</v>
      </c>
      <c r="D146" t="s">
        <v>36</v>
      </c>
      <c r="E146" t="s">
        <v>37</v>
      </c>
      <c r="F146" t="s">
        <v>38</v>
      </c>
      <c r="G146" t="s">
        <v>39</v>
      </c>
      <c r="H146">
        <v>2023</v>
      </c>
      <c r="I146" t="s">
        <v>271</v>
      </c>
      <c r="L146"/>
      <c r="M146">
        <v>2023</v>
      </c>
      <c r="O146" t="s">
        <v>45</v>
      </c>
      <c r="P146" s="9"/>
      <c r="Q146" t="s">
        <v>1297</v>
      </c>
      <c r="R146" s="7" t="s">
        <v>459</v>
      </c>
      <c r="S146" s="66">
        <v>220278.2</v>
      </c>
      <c r="T146" s="154"/>
    </row>
    <row r="147" spans="1:20" s="7" customFormat="1" x14ac:dyDescent="0.3">
      <c r="A147" s="7" t="s">
        <v>369</v>
      </c>
      <c r="C147" s="8" t="s">
        <v>421</v>
      </c>
      <c r="D147" t="s">
        <v>36</v>
      </c>
      <c r="E147" t="s">
        <v>37</v>
      </c>
      <c r="F147" t="s">
        <v>38</v>
      </c>
      <c r="G147" t="s">
        <v>39</v>
      </c>
      <c r="H147">
        <v>2023</v>
      </c>
      <c r="I147" t="s">
        <v>271</v>
      </c>
      <c r="L147"/>
      <c r="M147">
        <v>2023</v>
      </c>
      <c r="O147" t="s">
        <v>45</v>
      </c>
      <c r="P147" s="9"/>
      <c r="Q147" t="s">
        <v>1297</v>
      </c>
      <c r="R147" s="7" t="s">
        <v>460</v>
      </c>
      <c r="S147" s="66">
        <v>1469733.87</v>
      </c>
      <c r="T147" s="154"/>
    </row>
    <row r="148" spans="1:20" s="7" customFormat="1" x14ac:dyDescent="0.3">
      <c r="A148" s="7" t="s">
        <v>369</v>
      </c>
      <c r="C148" s="8" t="s">
        <v>421</v>
      </c>
      <c r="D148" t="s">
        <v>36</v>
      </c>
      <c r="E148" t="s">
        <v>37</v>
      </c>
      <c r="F148" t="s">
        <v>38</v>
      </c>
      <c r="G148" t="s">
        <v>39</v>
      </c>
      <c r="H148">
        <v>2023</v>
      </c>
      <c r="I148" t="s">
        <v>271</v>
      </c>
      <c r="J148" s="68"/>
      <c r="K148" s="68"/>
      <c r="L148" s="64"/>
      <c r="M148">
        <v>2023</v>
      </c>
      <c r="N148" s="68"/>
      <c r="O148" t="s">
        <v>45</v>
      </c>
      <c r="P148" s="9"/>
      <c r="Q148" t="s">
        <v>1298</v>
      </c>
      <c r="R148" s="68" t="s">
        <v>426</v>
      </c>
      <c r="S148" s="70">
        <f>SUM(S136:S138)</f>
        <v>318748.42</v>
      </c>
      <c r="T148" s="154"/>
    </row>
    <row r="149" spans="1:20" s="7" customFormat="1" x14ac:dyDescent="0.3">
      <c r="A149" s="7" t="s">
        <v>369</v>
      </c>
      <c r="C149" s="8" t="s">
        <v>421</v>
      </c>
      <c r="D149" t="s">
        <v>36</v>
      </c>
      <c r="E149" t="s">
        <v>37</v>
      </c>
      <c r="F149" t="s">
        <v>38</v>
      </c>
      <c r="G149" t="s">
        <v>39</v>
      </c>
      <c r="H149">
        <v>2023</v>
      </c>
      <c r="I149" t="s">
        <v>271</v>
      </c>
      <c r="J149" s="68"/>
      <c r="K149" s="68"/>
      <c r="L149" s="64"/>
      <c r="M149">
        <v>2023</v>
      </c>
      <c r="N149" s="68"/>
      <c r="O149" t="s">
        <v>45</v>
      </c>
      <c r="P149" s="9"/>
      <c r="Q149" t="s">
        <v>1298</v>
      </c>
      <c r="R149" s="68" t="s">
        <v>427</v>
      </c>
      <c r="S149" s="70">
        <f>SUM(S139:S141)</f>
        <v>793506.61999999988</v>
      </c>
      <c r="T149" s="154"/>
    </row>
    <row r="150" spans="1:20" s="7" customFormat="1" x14ac:dyDescent="0.3">
      <c r="A150" s="7" t="s">
        <v>369</v>
      </c>
      <c r="C150" s="8" t="s">
        <v>421</v>
      </c>
      <c r="D150" t="s">
        <v>36</v>
      </c>
      <c r="E150" t="s">
        <v>37</v>
      </c>
      <c r="F150" t="s">
        <v>38</v>
      </c>
      <c r="G150" t="s">
        <v>39</v>
      </c>
      <c r="H150">
        <v>2023</v>
      </c>
      <c r="I150" t="s">
        <v>271</v>
      </c>
      <c r="J150" s="68"/>
      <c r="K150" s="68"/>
      <c r="L150" s="64"/>
      <c r="M150">
        <v>2023</v>
      </c>
      <c r="N150" s="68"/>
      <c r="O150" t="s">
        <v>45</v>
      </c>
      <c r="P150" s="9"/>
      <c r="Q150" t="s">
        <v>1299</v>
      </c>
      <c r="R150" s="68" t="s">
        <v>428</v>
      </c>
      <c r="S150" s="70">
        <f>SUM(S142:S144)</f>
        <v>548777.44999999995</v>
      </c>
      <c r="T150" s="154"/>
    </row>
    <row r="151" spans="1:20" s="7" customFormat="1" x14ac:dyDescent="0.3">
      <c r="A151" s="7" t="s">
        <v>369</v>
      </c>
      <c r="C151" s="8" t="s">
        <v>421</v>
      </c>
      <c r="D151" t="s">
        <v>36</v>
      </c>
      <c r="E151" t="s">
        <v>37</v>
      </c>
      <c r="F151" t="s">
        <v>38</v>
      </c>
      <c r="G151" t="s">
        <v>39</v>
      </c>
      <c r="H151">
        <v>2023</v>
      </c>
      <c r="I151" t="s">
        <v>271</v>
      </c>
      <c r="L151"/>
      <c r="M151">
        <v>2023</v>
      </c>
      <c r="O151" t="s">
        <v>45</v>
      </c>
      <c r="P151" s="9"/>
      <c r="Q151" t="s">
        <v>1300</v>
      </c>
      <c r="R151" s="7" t="s">
        <v>430</v>
      </c>
      <c r="S151" s="7">
        <v>16978091.530000001</v>
      </c>
      <c r="T151" s="154"/>
    </row>
    <row r="152" spans="1:20" s="7" customFormat="1" x14ac:dyDescent="0.3">
      <c r="A152" s="7" t="s">
        <v>369</v>
      </c>
      <c r="C152" s="8" t="s">
        <v>421</v>
      </c>
      <c r="D152" t="s">
        <v>36</v>
      </c>
      <c r="E152" t="s">
        <v>37</v>
      </c>
      <c r="F152" t="s">
        <v>38</v>
      </c>
      <c r="G152" t="s">
        <v>39</v>
      </c>
      <c r="H152">
        <v>2023</v>
      </c>
      <c r="I152" t="s">
        <v>271</v>
      </c>
      <c r="L152"/>
      <c r="M152">
        <v>2023</v>
      </c>
      <c r="O152" t="s">
        <v>45</v>
      </c>
      <c r="P152" s="9"/>
      <c r="Q152" t="s">
        <v>1300</v>
      </c>
      <c r="R152" s="7" t="s">
        <v>431</v>
      </c>
      <c r="S152" s="7">
        <v>2505779.77</v>
      </c>
      <c r="T152" s="154"/>
    </row>
    <row r="153" spans="1:20" s="7" customFormat="1" x14ac:dyDescent="0.3">
      <c r="A153" s="7" t="s">
        <v>369</v>
      </c>
      <c r="C153" s="8" t="s">
        <v>421</v>
      </c>
      <c r="D153" t="s">
        <v>36</v>
      </c>
      <c r="E153" t="s">
        <v>37</v>
      </c>
      <c r="F153" t="s">
        <v>38</v>
      </c>
      <c r="G153" t="s">
        <v>39</v>
      </c>
      <c r="H153">
        <v>2023</v>
      </c>
      <c r="I153" t="s">
        <v>271</v>
      </c>
      <c r="J153" s="68"/>
      <c r="K153" s="68"/>
      <c r="L153" s="64"/>
      <c r="M153">
        <v>2023</v>
      </c>
      <c r="N153" s="68"/>
      <c r="O153" t="s">
        <v>45</v>
      </c>
      <c r="P153" s="9"/>
      <c r="Q153" t="s">
        <v>1301</v>
      </c>
      <c r="R153" s="68" t="s">
        <v>432</v>
      </c>
      <c r="S153" s="68">
        <f>SUM(S151:S152)</f>
        <v>19483871.300000001</v>
      </c>
      <c r="T153" s="154"/>
    </row>
    <row r="154" spans="1:20" s="7" customFormat="1" x14ac:dyDescent="0.3">
      <c r="A154" s="7" t="s">
        <v>369</v>
      </c>
      <c r="C154" s="8" t="s">
        <v>421</v>
      </c>
      <c r="D154" t="s">
        <v>36</v>
      </c>
      <c r="E154" t="s">
        <v>37</v>
      </c>
      <c r="F154" t="s">
        <v>38</v>
      </c>
      <c r="G154" t="s">
        <v>39</v>
      </c>
      <c r="H154">
        <v>2023</v>
      </c>
      <c r="I154" t="s">
        <v>271</v>
      </c>
      <c r="L154"/>
      <c r="M154">
        <v>2023</v>
      </c>
      <c r="O154" t="s">
        <v>45</v>
      </c>
      <c r="P154" s="9"/>
      <c r="Q154" t="s">
        <v>1302</v>
      </c>
      <c r="R154" s="7" t="s">
        <v>433</v>
      </c>
      <c r="S154" s="66">
        <v>5434305.9199999999</v>
      </c>
      <c r="T154" s="154"/>
    </row>
    <row r="155" spans="1:20" s="7" customFormat="1" x14ac:dyDescent="0.3">
      <c r="A155" s="7" t="s">
        <v>369</v>
      </c>
      <c r="C155" s="8" t="s">
        <v>421</v>
      </c>
      <c r="D155" t="s">
        <v>36</v>
      </c>
      <c r="E155" t="s">
        <v>37</v>
      </c>
      <c r="F155" t="s">
        <v>38</v>
      </c>
      <c r="G155" t="s">
        <v>39</v>
      </c>
      <c r="H155">
        <v>2023</v>
      </c>
      <c r="I155" t="s">
        <v>271</v>
      </c>
      <c r="L155"/>
      <c r="M155">
        <v>2023</v>
      </c>
      <c r="O155" t="s">
        <v>45</v>
      </c>
      <c r="P155" s="9"/>
      <c r="Q155" t="s">
        <v>1302</v>
      </c>
      <c r="R155" s="7" t="s">
        <v>434</v>
      </c>
      <c r="S155" s="66">
        <v>1145738.54</v>
      </c>
      <c r="T155" s="154"/>
    </row>
    <row r="156" spans="1:20" s="7" customFormat="1" x14ac:dyDescent="0.3">
      <c r="A156" s="7" t="s">
        <v>369</v>
      </c>
      <c r="C156" s="8" t="s">
        <v>421</v>
      </c>
      <c r="D156" t="s">
        <v>36</v>
      </c>
      <c r="E156" t="s">
        <v>37</v>
      </c>
      <c r="F156" t="s">
        <v>38</v>
      </c>
      <c r="G156" t="s">
        <v>39</v>
      </c>
      <c r="H156">
        <v>2023</v>
      </c>
      <c r="I156" t="s">
        <v>271</v>
      </c>
      <c r="J156" s="68"/>
      <c r="K156" s="68"/>
      <c r="L156" s="64"/>
      <c r="M156">
        <v>2023</v>
      </c>
      <c r="N156" s="68"/>
      <c r="O156" t="s">
        <v>45</v>
      </c>
      <c r="P156" s="9"/>
      <c r="Q156" t="s">
        <v>1303</v>
      </c>
      <c r="R156" s="68" t="s">
        <v>435</v>
      </c>
      <c r="S156" s="70">
        <f>S154+S155</f>
        <v>6580044.46</v>
      </c>
      <c r="T156" s="154"/>
    </row>
    <row r="157" spans="1:20" s="7" customFormat="1" x14ac:dyDescent="0.3">
      <c r="A157" s="7" t="s">
        <v>369</v>
      </c>
      <c r="C157" s="8" t="s">
        <v>421</v>
      </c>
      <c r="D157" t="s">
        <v>36</v>
      </c>
      <c r="E157" t="s">
        <v>37</v>
      </c>
      <c r="F157" t="s">
        <v>38</v>
      </c>
      <c r="G157" t="s">
        <v>39</v>
      </c>
      <c r="H157">
        <v>2023</v>
      </c>
      <c r="I157" t="s">
        <v>271</v>
      </c>
      <c r="L157"/>
      <c r="M157">
        <v>2023</v>
      </c>
      <c r="O157" t="s">
        <v>45</v>
      </c>
      <c r="P157" s="9"/>
      <c r="Q157" t="s">
        <v>1297</v>
      </c>
      <c r="R157" s="7" t="s">
        <v>461</v>
      </c>
      <c r="S157" s="66">
        <v>13438942.539999999</v>
      </c>
      <c r="T157" s="154"/>
    </row>
    <row r="158" spans="1:20" s="7" customFormat="1" x14ac:dyDescent="0.3">
      <c r="A158" s="7" t="s">
        <v>369</v>
      </c>
      <c r="C158" s="8" t="s">
        <v>421</v>
      </c>
      <c r="D158" t="s">
        <v>36</v>
      </c>
      <c r="E158" t="s">
        <v>37</v>
      </c>
      <c r="F158" t="s">
        <v>38</v>
      </c>
      <c r="G158" t="s">
        <v>39</v>
      </c>
      <c r="H158">
        <v>2023</v>
      </c>
      <c r="I158" t="s">
        <v>271</v>
      </c>
      <c r="L158"/>
      <c r="M158">
        <v>2023</v>
      </c>
      <c r="O158" t="s">
        <v>45</v>
      </c>
      <c r="P158" s="9"/>
      <c r="Q158" t="s">
        <v>1304</v>
      </c>
      <c r="R158" s="7" t="s">
        <v>462</v>
      </c>
      <c r="S158" s="66">
        <v>2502540.0499999998</v>
      </c>
      <c r="T158" s="154"/>
    </row>
    <row r="159" spans="1:20" s="7" customFormat="1" x14ac:dyDescent="0.3">
      <c r="A159" s="7" t="s">
        <v>369</v>
      </c>
      <c r="C159" s="8" t="s">
        <v>421</v>
      </c>
      <c r="D159" t="s">
        <v>36</v>
      </c>
      <c r="E159" t="s">
        <v>37</v>
      </c>
      <c r="F159" t="s">
        <v>38</v>
      </c>
      <c r="G159" t="s">
        <v>39</v>
      </c>
      <c r="H159">
        <v>2023</v>
      </c>
      <c r="I159" t="s">
        <v>271</v>
      </c>
      <c r="L159"/>
      <c r="M159">
        <v>2023</v>
      </c>
      <c r="O159" t="s">
        <v>45</v>
      </c>
      <c r="P159" s="9"/>
      <c r="Q159" t="s">
        <v>1301</v>
      </c>
      <c r="R159" s="7" t="s">
        <v>436</v>
      </c>
      <c r="S159" s="66">
        <v>39477.769999999997</v>
      </c>
      <c r="T159" s="154"/>
    </row>
    <row r="160" spans="1:20" s="7" customFormat="1" x14ac:dyDescent="0.3">
      <c r="A160" s="7" t="s">
        <v>369</v>
      </c>
      <c r="C160" s="8" t="s">
        <v>421</v>
      </c>
      <c r="D160" t="s">
        <v>36</v>
      </c>
      <c r="E160" t="s">
        <v>37</v>
      </c>
      <c r="F160" t="s">
        <v>38</v>
      </c>
      <c r="G160" t="s">
        <v>39</v>
      </c>
      <c r="H160">
        <v>2023</v>
      </c>
      <c r="I160" t="s">
        <v>271</v>
      </c>
      <c r="L160"/>
      <c r="M160">
        <v>2023</v>
      </c>
      <c r="O160" t="s">
        <v>45</v>
      </c>
      <c r="P160" s="9"/>
      <c r="Q160" t="s">
        <v>1301</v>
      </c>
      <c r="R160" s="7" t="s">
        <v>437</v>
      </c>
      <c r="S160" s="66">
        <v>130007.38</v>
      </c>
      <c r="T160" s="154"/>
    </row>
    <row r="161" spans="1:20" s="7" customFormat="1" x14ac:dyDescent="0.3">
      <c r="A161" s="7" t="s">
        <v>369</v>
      </c>
      <c r="C161" s="8" t="s">
        <v>421</v>
      </c>
      <c r="D161" t="s">
        <v>36</v>
      </c>
      <c r="E161" t="s">
        <v>37</v>
      </c>
      <c r="F161" t="s">
        <v>38</v>
      </c>
      <c r="G161" t="s">
        <v>39</v>
      </c>
      <c r="H161">
        <v>2023</v>
      </c>
      <c r="I161" t="s">
        <v>271</v>
      </c>
      <c r="J161" s="68"/>
      <c r="K161" s="68"/>
      <c r="L161" s="64"/>
      <c r="M161">
        <v>2023</v>
      </c>
      <c r="N161" s="68"/>
      <c r="O161" t="s">
        <v>45</v>
      </c>
      <c r="P161" s="9"/>
      <c r="Q161" t="s">
        <v>1305</v>
      </c>
      <c r="R161" s="68" t="s">
        <v>438</v>
      </c>
      <c r="S161" s="70">
        <f>SUM(S159:S160)</f>
        <v>169485.15</v>
      </c>
      <c r="T161" s="154"/>
    </row>
    <row r="162" spans="1:20" s="7" customFormat="1" x14ac:dyDescent="0.3">
      <c r="A162" s="7" t="s">
        <v>369</v>
      </c>
      <c r="C162" s="8" t="s">
        <v>421</v>
      </c>
      <c r="D162" t="s">
        <v>36</v>
      </c>
      <c r="E162" t="s">
        <v>37</v>
      </c>
      <c r="F162" t="s">
        <v>38</v>
      </c>
      <c r="G162" t="s">
        <v>39</v>
      </c>
      <c r="H162">
        <v>2023</v>
      </c>
      <c r="I162" t="s">
        <v>271</v>
      </c>
      <c r="L162"/>
      <c r="M162">
        <v>2023</v>
      </c>
      <c r="O162" t="s">
        <v>45</v>
      </c>
      <c r="P162" s="9"/>
      <c r="Q162" t="s">
        <v>1306</v>
      </c>
      <c r="R162" s="7" t="s">
        <v>510</v>
      </c>
      <c r="S162" s="66">
        <v>40412.74</v>
      </c>
      <c r="T162" s="154"/>
    </row>
    <row r="163" spans="1:20" s="7" customFormat="1" x14ac:dyDescent="0.3">
      <c r="A163" s="7" t="s">
        <v>369</v>
      </c>
      <c r="C163" s="8" t="s">
        <v>421</v>
      </c>
      <c r="D163" t="s">
        <v>36</v>
      </c>
      <c r="E163" t="s">
        <v>37</v>
      </c>
      <c r="F163" t="s">
        <v>38</v>
      </c>
      <c r="G163" t="s">
        <v>39</v>
      </c>
      <c r="H163">
        <v>2023</v>
      </c>
      <c r="I163" t="s">
        <v>271</v>
      </c>
      <c r="J163" s="68"/>
      <c r="K163" s="68"/>
      <c r="L163" s="64"/>
      <c r="M163">
        <v>2023</v>
      </c>
      <c r="N163" s="68"/>
      <c r="O163" t="s">
        <v>45</v>
      </c>
      <c r="P163" s="9"/>
      <c r="Q163" t="s">
        <v>1307</v>
      </c>
      <c r="R163" s="68" t="s">
        <v>445</v>
      </c>
      <c r="S163" s="70">
        <f>(S136/$S$145)*100</f>
        <v>10.580859666280018</v>
      </c>
      <c r="T163" s="154"/>
    </row>
    <row r="164" spans="1:20" s="7" customFormat="1" x14ac:dyDescent="0.3">
      <c r="A164" s="7" t="s">
        <v>369</v>
      </c>
      <c r="C164" s="8" t="s">
        <v>421</v>
      </c>
      <c r="D164" t="s">
        <v>36</v>
      </c>
      <c r="E164" t="s">
        <v>37</v>
      </c>
      <c r="F164" t="s">
        <v>38</v>
      </c>
      <c r="G164" t="s">
        <v>39</v>
      </c>
      <c r="H164">
        <v>2023</v>
      </c>
      <c r="I164" t="s">
        <v>271</v>
      </c>
      <c r="J164" s="68"/>
      <c r="K164" s="68"/>
      <c r="L164" s="64"/>
      <c r="M164">
        <v>2023</v>
      </c>
      <c r="N164" s="68"/>
      <c r="O164" t="s">
        <v>45</v>
      </c>
      <c r="P164" s="9"/>
      <c r="Q164" t="s">
        <v>1307</v>
      </c>
      <c r="R164" s="68" t="s">
        <v>446</v>
      </c>
      <c r="S164" s="70">
        <f>(S137/$S$146)*100</f>
        <v>15.933356092432206</v>
      </c>
      <c r="T164" s="154"/>
    </row>
    <row r="165" spans="1:20" s="7" customFormat="1" x14ac:dyDescent="0.3">
      <c r="A165" s="7" t="s">
        <v>369</v>
      </c>
      <c r="C165" s="8" t="s">
        <v>421</v>
      </c>
      <c r="D165" t="s">
        <v>36</v>
      </c>
      <c r="E165" t="s">
        <v>37</v>
      </c>
      <c r="F165" t="s">
        <v>38</v>
      </c>
      <c r="G165" t="s">
        <v>39</v>
      </c>
      <c r="H165">
        <v>2023</v>
      </c>
      <c r="I165" t="s">
        <v>271</v>
      </c>
      <c r="J165" s="68"/>
      <c r="K165" s="68"/>
      <c r="L165" s="64"/>
      <c r="M165">
        <v>2023</v>
      </c>
      <c r="N165" s="68"/>
      <c r="O165" t="s">
        <v>45</v>
      </c>
      <c r="P165" s="9"/>
      <c r="Q165" t="s">
        <v>1307</v>
      </c>
      <c r="R165" s="68" t="s">
        <v>447</v>
      </c>
      <c r="S165" s="70">
        <f>(S138/$S$147)*100</f>
        <v>13.545933999602253</v>
      </c>
      <c r="T165" s="154"/>
    </row>
    <row r="166" spans="1:20" s="7" customFormat="1" x14ac:dyDescent="0.3">
      <c r="A166" s="7" t="s">
        <v>369</v>
      </c>
      <c r="C166" s="8" t="s">
        <v>421</v>
      </c>
      <c r="D166" t="s">
        <v>36</v>
      </c>
      <c r="E166" t="s">
        <v>37</v>
      </c>
      <c r="F166" t="s">
        <v>38</v>
      </c>
      <c r="G166" t="s">
        <v>39</v>
      </c>
      <c r="H166">
        <v>2023</v>
      </c>
      <c r="I166" t="s">
        <v>271</v>
      </c>
      <c r="J166" s="68"/>
      <c r="K166" s="68"/>
      <c r="L166" s="64"/>
      <c r="M166">
        <v>2023</v>
      </c>
      <c r="N166" s="68"/>
      <c r="O166" t="s">
        <v>45</v>
      </c>
      <c r="P166" s="9"/>
      <c r="Q166" t="s">
        <v>1307</v>
      </c>
      <c r="R166" s="68" t="s">
        <v>448</v>
      </c>
      <c r="S166" s="70">
        <f>(S139/$S$145)*100</f>
        <v>36.135423193820749</v>
      </c>
      <c r="T166" s="154"/>
    </row>
    <row r="167" spans="1:20" s="7" customFormat="1" x14ac:dyDescent="0.3">
      <c r="A167" s="7" t="s">
        <v>369</v>
      </c>
      <c r="C167" s="8" t="s">
        <v>421</v>
      </c>
      <c r="D167" t="s">
        <v>36</v>
      </c>
      <c r="E167" t="s">
        <v>37</v>
      </c>
      <c r="F167" t="s">
        <v>38</v>
      </c>
      <c r="G167" t="s">
        <v>39</v>
      </c>
      <c r="H167">
        <v>2023</v>
      </c>
      <c r="I167" t="s">
        <v>271</v>
      </c>
      <c r="J167" s="68"/>
      <c r="K167" s="68"/>
      <c r="L167" s="64"/>
      <c r="M167">
        <v>2023</v>
      </c>
      <c r="N167" s="68"/>
      <c r="O167" t="s">
        <v>45</v>
      </c>
      <c r="P167" s="9"/>
      <c r="Q167" t="s">
        <v>1307</v>
      </c>
      <c r="R167" s="68" t="s">
        <v>449</v>
      </c>
      <c r="S167" s="70">
        <f>(S140/$S$146)*100</f>
        <v>49.002534068282735</v>
      </c>
      <c r="T167" s="154"/>
    </row>
    <row r="168" spans="1:20" s="7" customFormat="1" x14ac:dyDescent="0.3">
      <c r="A168" s="7" t="s">
        <v>369</v>
      </c>
      <c r="C168" s="8" t="s">
        <v>421</v>
      </c>
      <c r="D168" t="s">
        <v>36</v>
      </c>
      <c r="E168" t="s">
        <v>37</v>
      </c>
      <c r="F168" t="s">
        <v>38</v>
      </c>
      <c r="G168" t="s">
        <v>39</v>
      </c>
      <c r="H168">
        <v>2023</v>
      </c>
      <c r="I168" t="s">
        <v>271</v>
      </c>
      <c r="J168" s="68"/>
      <c r="K168" s="68"/>
      <c r="L168" s="64"/>
      <c r="M168">
        <v>2023</v>
      </c>
      <c r="N168" s="68"/>
      <c r="O168" t="s">
        <v>45</v>
      </c>
      <c r="P168" s="9"/>
      <c r="Q168" t="s">
        <v>1307</v>
      </c>
      <c r="R168" s="68" t="s">
        <v>450</v>
      </c>
      <c r="S168" s="70">
        <f>(S141/$S$147)*100</f>
        <v>26.996235039476908</v>
      </c>
      <c r="T168" s="154"/>
    </row>
    <row r="169" spans="1:20" s="7" customFormat="1" x14ac:dyDescent="0.3">
      <c r="A169" s="7" t="s">
        <v>369</v>
      </c>
      <c r="C169" s="8" t="s">
        <v>421</v>
      </c>
      <c r="D169" t="s">
        <v>36</v>
      </c>
      <c r="E169" t="s">
        <v>37</v>
      </c>
      <c r="F169" t="s">
        <v>38</v>
      </c>
      <c r="G169" t="s">
        <v>39</v>
      </c>
      <c r="H169">
        <v>2023</v>
      </c>
      <c r="I169" t="s">
        <v>271</v>
      </c>
      <c r="J169" s="68"/>
      <c r="K169" s="68"/>
      <c r="L169" s="64"/>
      <c r="M169">
        <v>2023</v>
      </c>
      <c r="N169" s="68"/>
      <c r="O169" t="s">
        <v>45</v>
      </c>
      <c r="P169" s="9"/>
      <c r="Q169" t="s">
        <v>1308</v>
      </c>
      <c r="R169" s="68" t="s">
        <v>451</v>
      </c>
      <c r="S169" s="70">
        <f>(S142/$S$145)*100</f>
        <v>19.951434032148764</v>
      </c>
      <c r="T169" s="154"/>
    </row>
    <row r="170" spans="1:20" s="7" customFormat="1" x14ac:dyDescent="0.3">
      <c r="A170" s="7" t="s">
        <v>369</v>
      </c>
      <c r="C170" s="8" t="s">
        <v>421</v>
      </c>
      <c r="D170" t="s">
        <v>36</v>
      </c>
      <c r="E170" t="s">
        <v>37</v>
      </c>
      <c r="F170" t="s">
        <v>38</v>
      </c>
      <c r="G170" t="s">
        <v>39</v>
      </c>
      <c r="H170">
        <v>2023</v>
      </c>
      <c r="I170" t="s">
        <v>271</v>
      </c>
      <c r="J170" s="68"/>
      <c r="K170" s="68"/>
      <c r="L170" s="64"/>
      <c r="M170">
        <v>2023</v>
      </c>
      <c r="N170" s="68"/>
      <c r="O170" t="s">
        <v>45</v>
      </c>
      <c r="P170" s="9"/>
      <c r="Q170" t="s">
        <v>1308</v>
      </c>
      <c r="R170" s="68" t="s">
        <v>452</v>
      </c>
      <c r="S170" s="70">
        <f>(S143/$S$146)*100</f>
        <v>12.017044809699733</v>
      </c>
      <c r="T170" s="154"/>
    </row>
    <row r="171" spans="1:20" s="7" customFormat="1" x14ac:dyDescent="0.3">
      <c r="A171" s="7" t="s">
        <v>369</v>
      </c>
      <c r="C171" s="8" t="s">
        <v>421</v>
      </c>
      <c r="D171" t="s">
        <v>36</v>
      </c>
      <c r="E171" t="s">
        <v>37</v>
      </c>
      <c r="F171" t="s">
        <v>38</v>
      </c>
      <c r="G171" t="s">
        <v>39</v>
      </c>
      <c r="H171">
        <v>2023</v>
      </c>
      <c r="I171" t="s">
        <v>271</v>
      </c>
      <c r="J171" s="68"/>
      <c r="K171" s="68"/>
      <c r="L171" s="64"/>
      <c r="M171">
        <v>2023</v>
      </c>
      <c r="N171" s="68"/>
      <c r="O171" t="s">
        <v>45</v>
      </c>
      <c r="P171" s="9"/>
      <c r="Q171" t="s">
        <v>1308</v>
      </c>
      <c r="R171" s="68" t="s">
        <v>453</v>
      </c>
      <c r="S171" s="70">
        <f>(S144/$S$147)*100</f>
        <v>24.688549907337983</v>
      </c>
      <c r="T171" s="154"/>
    </row>
    <row r="172" spans="1:20" s="7" customFormat="1" x14ac:dyDescent="0.3">
      <c r="A172" s="7" t="s">
        <v>369</v>
      </c>
      <c r="C172" s="8" t="s">
        <v>421</v>
      </c>
      <c r="D172" t="s">
        <v>36</v>
      </c>
      <c r="E172" t="s">
        <v>37</v>
      </c>
      <c r="F172" t="s">
        <v>38</v>
      </c>
      <c r="G172" t="s">
        <v>39</v>
      </c>
      <c r="H172">
        <v>2023</v>
      </c>
      <c r="I172" t="s">
        <v>271</v>
      </c>
      <c r="J172" s="68"/>
      <c r="K172" s="68"/>
      <c r="L172" s="64"/>
      <c r="M172">
        <v>2023</v>
      </c>
      <c r="N172" s="68"/>
      <c r="O172" t="s">
        <v>45</v>
      </c>
      <c r="P172" s="9"/>
      <c r="Q172" t="s">
        <v>1309</v>
      </c>
      <c r="R172" s="68" t="s">
        <v>454</v>
      </c>
      <c r="S172" s="70">
        <f>(S148/($S$145+$S$146+$S$147))*100</f>
        <v>12.805227467262695</v>
      </c>
      <c r="T172" s="154"/>
    </row>
    <row r="173" spans="1:20" s="7" customFormat="1" x14ac:dyDescent="0.3">
      <c r="A173" s="7" t="s">
        <v>369</v>
      </c>
      <c r="C173" s="8" t="s">
        <v>421</v>
      </c>
      <c r="D173" t="s">
        <v>36</v>
      </c>
      <c r="E173" t="s">
        <v>37</v>
      </c>
      <c r="F173" t="s">
        <v>38</v>
      </c>
      <c r="G173" t="s">
        <v>39</v>
      </c>
      <c r="H173">
        <v>2023</v>
      </c>
      <c r="I173" t="s">
        <v>271</v>
      </c>
      <c r="J173" s="68"/>
      <c r="K173" s="68"/>
      <c r="L173" s="64"/>
      <c r="M173">
        <v>2023</v>
      </c>
      <c r="N173" s="68"/>
      <c r="O173" t="s">
        <v>45</v>
      </c>
      <c r="P173" s="9"/>
      <c r="Q173" t="s">
        <v>1309</v>
      </c>
      <c r="R173" s="68" t="s">
        <v>455</v>
      </c>
      <c r="S173" s="70">
        <f>(S149/($S$145+$S$146+$S$147))*100</f>
        <v>31.877907868151254</v>
      </c>
      <c r="T173" s="154"/>
    </row>
    <row r="174" spans="1:20" s="7" customFormat="1" x14ac:dyDescent="0.3">
      <c r="A174" s="7" t="s">
        <v>369</v>
      </c>
      <c r="C174" s="8" t="s">
        <v>421</v>
      </c>
      <c r="D174" t="s">
        <v>36</v>
      </c>
      <c r="E174" t="s">
        <v>37</v>
      </c>
      <c r="F174" t="s">
        <v>38</v>
      </c>
      <c r="G174" t="s">
        <v>39</v>
      </c>
      <c r="H174">
        <v>2023</v>
      </c>
      <c r="I174" t="s">
        <v>271</v>
      </c>
      <c r="J174" s="68"/>
      <c r="K174" s="68"/>
      <c r="L174" s="64"/>
      <c r="M174">
        <v>2023</v>
      </c>
      <c r="N174" s="68"/>
      <c r="O174" t="s">
        <v>45</v>
      </c>
      <c r="P174" s="9"/>
      <c r="Q174" t="s">
        <v>1309</v>
      </c>
      <c r="R174" s="68" t="s">
        <v>456</v>
      </c>
      <c r="S174" s="70">
        <f>(S150/($S$145+$S$146+$S$147))*100</f>
        <v>22.046289911505696</v>
      </c>
      <c r="T174" s="154"/>
    </row>
    <row r="175" spans="1:20" s="7" customFormat="1" x14ac:dyDescent="0.3">
      <c r="A175" s="7" t="s">
        <v>369</v>
      </c>
      <c r="C175" s="8" t="s">
        <v>421</v>
      </c>
      <c r="D175" t="s">
        <v>36</v>
      </c>
      <c r="E175" t="s">
        <v>37</v>
      </c>
      <c r="F175" t="s">
        <v>38</v>
      </c>
      <c r="G175" t="s">
        <v>39</v>
      </c>
      <c r="H175">
        <v>2023</v>
      </c>
      <c r="I175" t="s">
        <v>271</v>
      </c>
      <c r="J175" s="68"/>
      <c r="K175" s="68"/>
      <c r="L175" s="64"/>
      <c r="M175">
        <v>2023</v>
      </c>
      <c r="N175" s="68"/>
      <c r="O175" t="s">
        <v>45</v>
      </c>
      <c r="P175" s="9"/>
      <c r="Q175" t="s">
        <v>1310</v>
      </c>
      <c r="R175" s="85" t="s">
        <v>457</v>
      </c>
      <c r="S175" s="83">
        <f>((S148+S149+S150)/(S145+S146+S147))*100</f>
        <v>66.729425246919632</v>
      </c>
      <c r="T175" s="154"/>
    </row>
    <row r="176" spans="1:20" s="7" customFormat="1" x14ac:dyDescent="0.3">
      <c r="A176" s="7" t="s">
        <v>369</v>
      </c>
      <c r="C176" s="8" t="s">
        <v>421</v>
      </c>
      <c r="D176" t="s">
        <v>36</v>
      </c>
      <c r="E176" t="s">
        <v>37</v>
      </c>
      <c r="F176" t="s">
        <v>38</v>
      </c>
      <c r="G176" t="s">
        <v>39</v>
      </c>
      <c r="H176">
        <v>2023</v>
      </c>
      <c r="I176" t="s">
        <v>271</v>
      </c>
      <c r="J176" s="68"/>
      <c r="K176" s="68"/>
      <c r="L176" s="64"/>
      <c r="M176">
        <v>2023</v>
      </c>
      <c r="N176" s="68"/>
      <c r="O176" t="s">
        <v>45</v>
      </c>
      <c r="P176" s="9"/>
      <c r="Q176" t="s">
        <v>1311</v>
      </c>
      <c r="R176" s="68" t="s">
        <v>463</v>
      </c>
      <c r="S176" s="70">
        <f>(S154/S157)*100</f>
        <v>40.4370053955153</v>
      </c>
      <c r="T176" s="154"/>
    </row>
    <row r="177" spans="1:20" s="7" customFormat="1" x14ac:dyDescent="0.3">
      <c r="A177" s="7" t="s">
        <v>369</v>
      </c>
      <c r="C177" s="8" t="s">
        <v>421</v>
      </c>
      <c r="D177" t="s">
        <v>36</v>
      </c>
      <c r="E177" t="s">
        <v>37</v>
      </c>
      <c r="F177" t="s">
        <v>38</v>
      </c>
      <c r="G177" t="s">
        <v>39</v>
      </c>
      <c r="H177">
        <v>2023</v>
      </c>
      <c r="I177" t="s">
        <v>271</v>
      </c>
      <c r="J177" s="68"/>
      <c r="K177" s="68"/>
      <c r="L177" s="64"/>
      <c r="M177">
        <v>2023</v>
      </c>
      <c r="N177" s="68"/>
      <c r="O177" t="s">
        <v>45</v>
      </c>
      <c r="P177" s="9"/>
      <c r="Q177" t="s">
        <v>1311</v>
      </c>
      <c r="R177" s="68" t="s">
        <v>464</v>
      </c>
      <c r="S177" s="70">
        <f>(S155/S158)*100</f>
        <v>45.783025130806607</v>
      </c>
      <c r="T177" s="154"/>
    </row>
    <row r="178" spans="1:20" s="7" customFormat="1" x14ac:dyDescent="0.3">
      <c r="A178" s="7" t="s">
        <v>369</v>
      </c>
      <c r="C178" s="8" t="s">
        <v>421</v>
      </c>
      <c r="D178" t="s">
        <v>36</v>
      </c>
      <c r="E178" t="s">
        <v>37</v>
      </c>
      <c r="F178" t="s">
        <v>38</v>
      </c>
      <c r="G178" t="s">
        <v>39</v>
      </c>
      <c r="H178">
        <v>2023</v>
      </c>
      <c r="I178" t="s">
        <v>271</v>
      </c>
      <c r="J178" s="68"/>
      <c r="K178" s="68"/>
      <c r="L178" s="64"/>
      <c r="M178">
        <v>2023</v>
      </c>
      <c r="N178" s="68"/>
      <c r="O178" t="s">
        <v>45</v>
      </c>
      <c r="P178" s="9"/>
      <c r="Q178" t="s">
        <v>1310</v>
      </c>
      <c r="R178" s="85" t="s">
        <v>465</v>
      </c>
      <c r="S178" s="83">
        <f>((S154+S155)/(S157+S158))*100</f>
        <v>41.276239037689152</v>
      </c>
      <c r="T178" s="154"/>
    </row>
    <row r="179" spans="1:20" s="7" customFormat="1" x14ac:dyDescent="0.3">
      <c r="A179" s="7" t="s">
        <v>369</v>
      </c>
      <c r="C179" s="8" t="s">
        <v>421</v>
      </c>
      <c r="D179" t="s">
        <v>36</v>
      </c>
      <c r="E179" t="s">
        <v>37</v>
      </c>
      <c r="F179" t="s">
        <v>38</v>
      </c>
      <c r="G179" t="s">
        <v>39</v>
      </c>
      <c r="H179">
        <v>2023</v>
      </c>
      <c r="I179" t="s">
        <v>271</v>
      </c>
      <c r="J179" s="68"/>
      <c r="K179" s="68"/>
      <c r="L179" s="64"/>
      <c r="M179">
        <v>2023</v>
      </c>
      <c r="N179" s="68"/>
      <c r="O179" t="s">
        <v>45</v>
      </c>
      <c r="P179" s="9"/>
      <c r="Q179" t="s">
        <v>1312</v>
      </c>
      <c r="R179" s="85" t="s">
        <v>466</v>
      </c>
      <c r="S179" s="83">
        <f>(S162/S161)*100</f>
        <v>23.844413507614089</v>
      </c>
      <c r="T179" s="154"/>
    </row>
    <row r="180" spans="1:20" s="7" customFormat="1" x14ac:dyDescent="0.3">
      <c r="A180" s="7" t="s">
        <v>369</v>
      </c>
      <c r="C180" s="8" t="s">
        <v>469</v>
      </c>
      <c r="D180" t="s">
        <v>36</v>
      </c>
      <c r="E180" t="s">
        <v>37</v>
      </c>
      <c r="F180" t="s">
        <v>38</v>
      </c>
      <c r="G180" t="s">
        <v>39</v>
      </c>
      <c r="H180">
        <v>2023</v>
      </c>
      <c r="I180" t="s">
        <v>271</v>
      </c>
      <c r="L180"/>
      <c r="M180">
        <v>2023</v>
      </c>
      <c r="O180" t="s">
        <v>45</v>
      </c>
      <c r="P180" s="9"/>
      <c r="Q180" t="s">
        <v>1293</v>
      </c>
      <c r="R180" s="7" t="s">
        <v>470</v>
      </c>
      <c r="S180" s="66">
        <v>871251.54</v>
      </c>
      <c r="T180" s="154"/>
    </row>
    <row r="181" spans="1:20" s="7" customFormat="1" x14ac:dyDescent="0.3">
      <c r="A181" s="7" t="s">
        <v>369</v>
      </c>
      <c r="C181" s="8" t="s">
        <v>469</v>
      </c>
      <c r="D181" t="s">
        <v>36</v>
      </c>
      <c r="E181" t="s">
        <v>37</v>
      </c>
      <c r="F181" t="s">
        <v>38</v>
      </c>
      <c r="G181" t="s">
        <v>39</v>
      </c>
      <c r="H181">
        <v>2023</v>
      </c>
      <c r="I181" t="s">
        <v>271</v>
      </c>
      <c r="L181"/>
      <c r="M181">
        <v>2023</v>
      </c>
      <c r="O181" t="s">
        <v>45</v>
      </c>
      <c r="P181" s="9"/>
      <c r="Q181" t="s">
        <v>1293</v>
      </c>
      <c r="R181" s="7" t="s">
        <v>474</v>
      </c>
      <c r="S181" s="66">
        <v>235004.15</v>
      </c>
      <c r="T181" s="154"/>
    </row>
    <row r="182" spans="1:20" s="7" customFormat="1" x14ac:dyDescent="0.3">
      <c r="A182" s="7" t="s">
        <v>369</v>
      </c>
      <c r="C182" s="8" t="s">
        <v>469</v>
      </c>
      <c r="D182" t="s">
        <v>36</v>
      </c>
      <c r="E182" t="s">
        <v>37</v>
      </c>
      <c r="F182" t="s">
        <v>38</v>
      </c>
      <c r="G182" t="s">
        <v>39</v>
      </c>
      <c r="H182">
        <v>2023</v>
      </c>
      <c r="I182" t="s">
        <v>271</v>
      </c>
      <c r="L182"/>
      <c r="M182">
        <v>2023</v>
      </c>
      <c r="O182" t="s">
        <v>45</v>
      </c>
      <c r="P182" s="9"/>
      <c r="Q182" t="s">
        <v>1293</v>
      </c>
      <c r="R182" s="7" t="s">
        <v>475</v>
      </c>
      <c r="S182" s="66">
        <v>1750899.24</v>
      </c>
      <c r="T182" s="154"/>
    </row>
    <row r="183" spans="1:20" s="7" customFormat="1" x14ac:dyDescent="0.3">
      <c r="A183" s="7" t="s">
        <v>369</v>
      </c>
      <c r="C183" s="8" t="s">
        <v>469</v>
      </c>
      <c r="D183" t="s">
        <v>36</v>
      </c>
      <c r="E183" t="s">
        <v>37</v>
      </c>
      <c r="F183" t="s">
        <v>38</v>
      </c>
      <c r="G183" t="s">
        <v>39</v>
      </c>
      <c r="H183">
        <v>2023</v>
      </c>
      <c r="I183" t="s">
        <v>271</v>
      </c>
      <c r="L183"/>
      <c r="M183">
        <v>2023</v>
      </c>
      <c r="O183" t="s">
        <v>45</v>
      </c>
      <c r="P183" s="9"/>
      <c r="Q183" t="s">
        <v>1294</v>
      </c>
      <c r="R183" s="68" t="s">
        <v>471</v>
      </c>
      <c r="S183" s="70">
        <f>SUM(S180:S182)</f>
        <v>2857154.9299999997</v>
      </c>
      <c r="T183" s="154"/>
    </row>
    <row r="184" spans="1:20" s="7" customFormat="1" x14ac:dyDescent="0.3">
      <c r="A184" s="7" t="s">
        <v>369</v>
      </c>
      <c r="C184" s="8" t="s">
        <v>469</v>
      </c>
      <c r="D184" t="s">
        <v>36</v>
      </c>
      <c r="E184" t="s">
        <v>37</v>
      </c>
      <c r="F184" t="s">
        <v>38</v>
      </c>
      <c r="G184" t="s">
        <v>39</v>
      </c>
      <c r="H184">
        <v>2023</v>
      </c>
      <c r="I184" t="s">
        <v>271</v>
      </c>
      <c r="L184"/>
      <c r="M184">
        <v>2023</v>
      </c>
      <c r="O184" t="s">
        <v>45</v>
      </c>
      <c r="P184" s="9"/>
      <c r="Q184" t="s">
        <v>1313</v>
      </c>
      <c r="R184" s="7" t="s">
        <v>476</v>
      </c>
      <c r="S184" s="66">
        <v>285468.71000000002</v>
      </c>
      <c r="T184" s="154"/>
    </row>
    <row r="185" spans="1:20" s="7" customFormat="1" x14ac:dyDescent="0.3">
      <c r="A185" s="7" t="s">
        <v>369</v>
      </c>
      <c r="C185" s="8" t="s">
        <v>469</v>
      </c>
      <c r="D185" t="s">
        <v>36</v>
      </c>
      <c r="E185" t="s">
        <v>37</v>
      </c>
      <c r="F185" t="s">
        <v>38</v>
      </c>
      <c r="G185" t="s">
        <v>39</v>
      </c>
      <c r="H185">
        <v>2023</v>
      </c>
      <c r="I185" t="s">
        <v>271</v>
      </c>
      <c r="L185"/>
      <c r="M185">
        <v>2023</v>
      </c>
      <c r="O185" t="s">
        <v>45</v>
      </c>
      <c r="P185" s="9"/>
      <c r="Q185" t="s">
        <v>1313</v>
      </c>
      <c r="R185" s="7" t="s">
        <v>477</v>
      </c>
      <c r="S185" s="66">
        <v>63330.89</v>
      </c>
      <c r="T185" s="154"/>
    </row>
    <row r="186" spans="1:20" s="7" customFormat="1" x14ac:dyDescent="0.3">
      <c r="A186" s="7" t="s">
        <v>369</v>
      </c>
      <c r="C186" s="8" t="s">
        <v>469</v>
      </c>
      <c r="D186" t="s">
        <v>36</v>
      </c>
      <c r="E186" t="s">
        <v>37</v>
      </c>
      <c r="F186" t="s">
        <v>38</v>
      </c>
      <c r="G186" t="s">
        <v>39</v>
      </c>
      <c r="H186">
        <v>2023</v>
      </c>
      <c r="I186" t="s">
        <v>271</v>
      </c>
      <c r="L186"/>
      <c r="M186">
        <v>2023</v>
      </c>
      <c r="O186" t="s">
        <v>45</v>
      </c>
      <c r="P186" s="9"/>
      <c r="Q186" t="s">
        <v>1313</v>
      </c>
      <c r="R186" s="7" t="s">
        <v>478</v>
      </c>
      <c r="S186" s="66">
        <v>371452.23</v>
      </c>
      <c r="T186" s="154"/>
    </row>
    <row r="187" spans="1:20" s="7" customFormat="1" x14ac:dyDescent="0.3">
      <c r="A187" s="7" t="s">
        <v>369</v>
      </c>
      <c r="C187" s="8" t="s">
        <v>469</v>
      </c>
      <c r="D187" t="s">
        <v>36</v>
      </c>
      <c r="E187" t="s">
        <v>37</v>
      </c>
      <c r="F187" t="s">
        <v>38</v>
      </c>
      <c r="G187" t="s">
        <v>39</v>
      </c>
      <c r="H187">
        <v>2023</v>
      </c>
      <c r="I187" t="s">
        <v>271</v>
      </c>
      <c r="J187" s="68"/>
      <c r="K187" s="68"/>
      <c r="L187" s="64"/>
      <c r="M187">
        <v>2023</v>
      </c>
      <c r="N187" s="68"/>
      <c r="O187" t="s">
        <v>45</v>
      </c>
      <c r="P187" s="9"/>
      <c r="Q187" t="s">
        <v>1314</v>
      </c>
      <c r="R187" s="68" t="s">
        <v>479</v>
      </c>
      <c r="S187" s="70">
        <f>SUM(S184:S186)</f>
        <v>720251.83000000007</v>
      </c>
      <c r="T187" s="154"/>
    </row>
    <row r="188" spans="1:20" s="7" customFormat="1" x14ac:dyDescent="0.3">
      <c r="A188" s="7" t="s">
        <v>369</v>
      </c>
      <c r="C188" s="8" t="s">
        <v>469</v>
      </c>
      <c r="D188" t="s">
        <v>36</v>
      </c>
      <c r="E188" t="s">
        <v>37</v>
      </c>
      <c r="F188" t="s">
        <v>38</v>
      </c>
      <c r="G188" t="s">
        <v>39</v>
      </c>
      <c r="H188">
        <v>2023</v>
      </c>
      <c r="I188" t="s">
        <v>271</v>
      </c>
      <c r="L188"/>
      <c r="M188">
        <v>2023</v>
      </c>
      <c r="O188" t="s">
        <v>45</v>
      </c>
      <c r="P188" s="9"/>
      <c r="Q188" t="s">
        <v>1309</v>
      </c>
      <c r="R188" s="7" t="s">
        <v>494</v>
      </c>
      <c r="S188" s="66">
        <v>605368.29</v>
      </c>
      <c r="T188" s="154"/>
    </row>
    <row r="189" spans="1:20" s="7" customFormat="1" x14ac:dyDescent="0.3">
      <c r="A189" s="7" t="s">
        <v>369</v>
      </c>
      <c r="C189" s="8" t="s">
        <v>469</v>
      </c>
      <c r="D189" t="s">
        <v>36</v>
      </c>
      <c r="E189" t="s">
        <v>37</v>
      </c>
      <c r="F189" t="s">
        <v>38</v>
      </c>
      <c r="G189" t="s">
        <v>39</v>
      </c>
      <c r="H189">
        <v>2023</v>
      </c>
      <c r="I189" t="s">
        <v>271</v>
      </c>
      <c r="L189"/>
      <c r="M189">
        <v>2023</v>
      </c>
      <c r="O189" t="s">
        <v>45</v>
      </c>
      <c r="P189" s="9"/>
      <c r="Q189" t="s">
        <v>1309</v>
      </c>
      <c r="R189" s="7" t="s">
        <v>492</v>
      </c>
      <c r="S189" s="66">
        <v>165061.63</v>
      </c>
      <c r="T189" s="154"/>
    </row>
    <row r="190" spans="1:20" s="7" customFormat="1" x14ac:dyDescent="0.3">
      <c r="A190" s="7" t="s">
        <v>369</v>
      </c>
      <c r="C190" s="8" t="s">
        <v>469</v>
      </c>
      <c r="D190" t="s">
        <v>36</v>
      </c>
      <c r="E190" t="s">
        <v>37</v>
      </c>
      <c r="F190" t="s">
        <v>38</v>
      </c>
      <c r="G190" t="s">
        <v>39</v>
      </c>
      <c r="H190">
        <v>2023</v>
      </c>
      <c r="I190" t="s">
        <v>271</v>
      </c>
      <c r="L190"/>
      <c r="M190">
        <v>2023</v>
      </c>
      <c r="O190" t="s">
        <v>45</v>
      </c>
      <c r="P190" s="9"/>
      <c r="Q190" t="s">
        <v>1309</v>
      </c>
      <c r="R190" s="7" t="s">
        <v>493</v>
      </c>
      <c r="S190" s="66">
        <v>1026988.37</v>
      </c>
      <c r="T190" s="154"/>
    </row>
    <row r="191" spans="1:20" s="7" customFormat="1" x14ac:dyDescent="0.3">
      <c r="A191" s="7" t="s">
        <v>369</v>
      </c>
      <c r="C191" s="8" t="s">
        <v>469</v>
      </c>
      <c r="D191" t="s">
        <v>36</v>
      </c>
      <c r="E191" t="s">
        <v>37</v>
      </c>
      <c r="F191" t="s">
        <v>38</v>
      </c>
      <c r="G191" t="s">
        <v>39</v>
      </c>
      <c r="H191">
        <v>2023</v>
      </c>
      <c r="I191" t="s">
        <v>271</v>
      </c>
      <c r="L191"/>
      <c r="M191">
        <v>2023</v>
      </c>
      <c r="O191" t="s">
        <v>45</v>
      </c>
      <c r="P191" s="9"/>
      <c r="Q191" t="s">
        <v>1300</v>
      </c>
      <c r="R191" s="7" t="s">
        <v>480</v>
      </c>
      <c r="S191" s="7">
        <v>16978091.530000001</v>
      </c>
      <c r="T191" s="154"/>
    </row>
    <row r="192" spans="1:20" s="7" customFormat="1" x14ac:dyDescent="0.3">
      <c r="A192" s="7" t="s">
        <v>369</v>
      </c>
      <c r="C192" s="8" t="s">
        <v>469</v>
      </c>
      <c r="D192" t="s">
        <v>36</v>
      </c>
      <c r="E192" t="s">
        <v>37</v>
      </c>
      <c r="F192" t="s">
        <v>38</v>
      </c>
      <c r="G192" t="s">
        <v>39</v>
      </c>
      <c r="H192">
        <v>2023</v>
      </c>
      <c r="I192" t="s">
        <v>271</v>
      </c>
      <c r="L192"/>
      <c r="M192">
        <v>2023</v>
      </c>
      <c r="O192" t="s">
        <v>45</v>
      </c>
      <c r="P192" s="9"/>
      <c r="Q192" t="s">
        <v>1300</v>
      </c>
      <c r="R192" s="7" t="s">
        <v>481</v>
      </c>
      <c r="S192" s="7">
        <v>2505779.77</v>
      </c>
      <c r="T192" s="154"/>
    </row>
    <row r="193" spans="1:20" s="7" customFormat="1" x14ac:dyDescent="0.3">
      <c r="A193" s="7" t="s">
        <v>369</v>
      </c>
      <c r="C193" s="8" t="s">
        <v>469</v>
      </c>
      <c r="D193" t="s">
        <v>36</v>
      </c>
      <c r="E193" t="s">
        <v>37</v>
      </c>
      <c r="F193" t="s">
        <v>38</v>
      </c>
      <c r="G193" t="s">
        <v>39</v>
      </c>
      <c r="H193">
        <v>2023</v>
      </c>
      <c r="I193" t="s">
        <v>271</v>
      </c>
      <c r="J193" s="68"/>
      <c r="K193" s="68"/>
      <c r="L193" s="64"/>
      <c r="M193">
        <v>2023</v>
      </c>
      <c r="N193" s="68"/>
      <c r="O193" t="s">
        <v>45</v>
      </c>
      <c r="P193" s="9"/>
      <c r="Q193" t="s">
        <v>1301</v>
      </c>
      <c r="R193" s="68" t="s">
        <v>482</v>
      </c>
      <c r="S193" s="68">
        <f>SUM(S191:S192)</f>
        <v>19483871.300000001</v>
      </c>
      <c r="T193" s="154"/>
    </row>
    <row r="194" spans="1:20" s="7" customFormat="1" x14ac:dyDescent="0.3">
      <c r="A194" s="7" t="s">
        <v>369</v>
      </c>
      <c r="C194" s="8" t="s">
        <v>469</v>
      </c>
      <c r="D194" t="s">
        <v>36</v>
      </c>
      <c r="E194" t="s">
        <v>37</v>
      </c>
      <c r="F194" t="s">
        <v>38</v>
      </c>
      <c r="G194" t="s">
        <v>39</v>
      </c>
      <c r="H194">
        <v>2023</v>
      </c>
      <c r="I194" t="s">
        <v>271</v>
      </c>
      <c r="L194"/>
      <c r="M194">
        <v>2023</v>
      </c>
      <c r="O194" t="s">
        <v>45</v>
      </c>
      <c r="P194" s="9"/>
      <c r="Q194" t="s">
        <v>1315</v>
      </c>
      <c r="R194" s="7" t="s">
        <v>483</v>
      </c>
      <c r="S194" s="66">
        <v>4092023.72</v>
      </c>
      <c r="T194" s="154"/>
    </row>
    <row r="195" spans="1:20" s="7" customFormat="1" x14ac:dyDescent="0.3">
      <c r="A195" s="7" t="s">
        <v>369</v>
      </c>
      <c r="C195" s="8" t="s">
        <v>469</v>
      </c>
      <c r="D195" t="s">
        <v>36</v>
      </c>
      <c r="E195" t="s">
        <v>37</v>
      </c>
      <c r="F195" t="s">
        <v>38</v>
      </c>
      <c r="G195" t="s">
        <v>39</v>
      </c>
      <c r="H195">
        <v>2023</v>
      </c>
      <c r="I195" t="s">
        <v>271</v>
      </c>
      <c r="L195"/>
      <c r="M195">
        <v>2023</v>
      </c>
      <c r="O195" t="s">
        <v>45</v>
      </c>
      <c r="P195" s="9"/>
      <c r="Q195" t="s">
        <v>1316</v>
      </c>
      <c r="R195" s="7" t="s">
        <v>484</v>
      </c>
      <c r="S195" s="66">
        <v>593398.73</v>
      </c>
      <c r="T195" s="154"/>
    </row>
    <row r="196" spans="1:20" s="7" customFormat="1" x14ac:dyDescent="0.3">
      <c r="A196" s="7" t="s">
        <v>369</v>
      </c>
      <c r="C196" s="8" t="s">
        <v>469</v>
      </c>
      <c r="D196" t="s">
        <v>36</v>
      </c>
      <c r="E196" t="s">
        <v>37</v>
      </c>
      <c r="F196" t="s">
        <v>38</v>
      </c>
      <c r="G196" t="s">
        <v>39</v>
      </c>
      <c r="H196">
        <v>2023</v>
      </c>
      <c r="I196" t="s">
        <v>271</v>
      </c>
      <c r="J196" s="68"/>
      <c r="K196" s="68"/>
      <c r="L196" s="64"/>
      <c r="M196">
        <v>2023</v>
      </c>
      <c r="N196" s="68"/>
      <c r="O196" t="s">
        <v>45</v>
      </c>
      <c r="P196" s="9"/>
      <c r="Q196" t="s">
        <v>1317</v>
      </c>
      <c r="R196" s="68" t="s">
        <v>485</v>
      </c>
      <c r="S196" s="70">
        <f>SUM(S194:S195)</f>
        <v>4685422.45</v>
      </c>
      <c r="T196" s="154"/>
    </row>
    <row r="197" spans="1:20" s="7" customFormat="1" x14ac:dyDescent="0.3">
      <c r="A197" s="7" t="s">
        <v>369</v>
      </c>
      <c r="C197" s="8" t="s">
        <v>469</v>
      </c>
      <c r="D197" t="s">
        <v>36</v>
      </c>
      <c r="E197" t="s">
        <v>37</v>
      </c>
      <c r="F197" t="s">
        <v>38</v>
      </c>
      <c r="G197" t="s">
        <v>39</v>
      </c>
      <c r="H197">
        <v>2023</v>
      </c>
      <c r="I197" t="s">
        <v>271</v>
      </c>
      <c r="L197"/>
      <c r="M197">
        <v>2023</v>
      </c>
      <c r="O197" t="s">
        <v>45</v>
      </c>
      <c r="P197" s="9"/>
      <c r="Q197" t="s">
        <v>1318</v>
      </c>
      <c r="R197" s="7" t="s">
        <v>495</v>
      </c>
      <c r="S197" s="66">
        <v>11438292.050000001</v>
      </c>
      <c r="T197" s="154"/>
    </row>
    <row r="198" spans="1:20" s="7" customFormat="1" x14ac:dyDescent="0.3">
      <c r="A198" s="7" t="s">
        <v>369</v>
      </c>
      <c r="C198" s="8" t="s">
        <v>469</v>
      </c>
      <c r="D198" t="s">
        <v>36</v>
      </c>
      <c r="E198" t="s">
        <v>37</v>
      </c>
      <c r="F198" t="s">
        <v>38</v>
      </c>
      <c r="G198" t="s">
        <v>39</v>
      </c>
      <c r="H198">
        <v>2023</v>
      </c>
      <c r="I198" t="s">
        <v>271</v>
      </c>
      <c r="L198"/>
      <c r="M198">
        <v>2023</v>
      </c>
      <c r="O198" t="s">
        <v>45</v>
      </c>
      <c r="P198" s="9"/>
      <c r="Q198" t="s">
        <v>1318</v>
      </c>
      <c r="R198" s="7" t="s">
        <v>496</v>
      </c>
      <c r="S198" s="66">
        <v>1956826.87</v>
      </c>
      <c r="T198" s="154"/>
    </row>
    <row r="199" spans="1:20" s="7" customFormat="1" x14ac:dyDescent="0.3">
      <c r="A199" s="7" t="s">
        <v>369</v>
      </c>
      <c r="C199" s="8" t="s">
        <v>469</v>
      </c>
      <c r="D199" t="s">
        <v>36</v>
      </c>
      <c r="E199" t="s">
        <v>37</v>
      </c>
      <c r="F199" t="s">
        <v>38</v>
      </c>
      <c r="G199" t="s">
        <v>39</v>
      </c>
      <c r="H199">
        <v>2023</v>
      </c>
      <c r="I199" t="s">
        <v>271</v>
      </c>
      <c r="L199"/>
      <c r="M199">
        <v>2023</v>
      </c>
      <c r="O199" t="s">
        <v>45</v>
      </c>
      <c r="P199" s="9"/>
      <c r="Q199" t="s">
        <v>1301</v>
      </c>
      <c r="R199" s="7" t="s">
        <v>486</v>
      </c>
      <c r="S199" s="66">
        <v>39477.769999999997</v>
      </c>
      <c r="T199" s="154"/>
    </row>
    <row r="200" spans="1:20" s="7" customFormat="1" x14ac:dyDescent="0.3">
      <c r="A200" s="7" t="s">
        <v>369</v>
      </c>
      <c r="C200" s="8" t="s">
        <v>469</v>
      </c>
      <c r="D200" t="s">
        <v>36</v>
      </c>
      <c r="E200" t="s">
        <v>37</v>
      </c>
      <c r="F200" t="s">
        <v>38</v>
      </c>
      <c r="G200" t="s">
        <v>39</v>
      </c>
      <c r="H200">
        <v>2023</v>
      </c>
      <c r="I200" t="s">
        <v>271</v>
      </c>
      <c r="L200"/>
      <c r="M200">
        <v>2023</v>
      </c>
      <c r="O200" t="s">
        <v>45</v>
      </c>
      <c r="P200" s="9"/>
      <c r="Q200" t="s">
        <v>1301</v>
      </c>
      <c r="R200" s="7" t="s">
        <v>487</v>
      </c>
      <c r="S200" s="66">
        <v>130007.38</v>
      </c>
      <c r="T200" s="154"/>
    </row>
    <row r="201" spans="1:20" s="7" customFormat="1" x14ac:dyDescent="0.3">
      <c r="A201" s="7" t="s">
        <v>369</v>
      </c>
      <c r="C201" s="8" t="s">
        <v>469</v>
      </c>
      <c r="D201" t="s">
        <v>36</v>
      </c>
      <c r="E201" t="s">
        <v>37</v>
      </c>
      <c r="F201" t="s">
        <v>38</v>
      </c>
      <c r="G201" t="s">
        <v>39</v>
      </c>
      <c r="H201">
        <v>2023</v>
      </c>
      <c r="I201" t="s">
        <v>271</v>
      </c>
      <c r="L201"/>
      <c r="M201">
        <v>2023</v>
      </c>
      <c r="O201" t="s">
        <v>45</v>
      </c>
      <c r="P201" s="9"/>
      <c r="Q201" t="s">
        <v>1305</v>
      </c>
      <c r="R201" s="68" t="s">
        <v>488</v>
      </c>
      <c r="S201" s="70">
        <f>SUM(S199:S200)</f>
        <v>169485.15</v>
      </c>
      <c r="T201" s="154"/>
    </row>
    <row r="202" spans="1:20" s="7" customFormat="1" x14ac:dyDescent="0.3">
      <c r="A202" s="7" t="s">
        <v>369</v>
      </c>
      <c r="C202" s="8" t="s">
        <v>469</v>
      </c>
      <c r="D202" t="s">
        <v>36</v>
      </c>
      <c r="E202" t="s">
        <v>37</v>
      </c>
      <c r="F202" t="s">
        <v>38</v>
      </c>
      <c r="G202" t="s">
        <v>39</v>
      </c>
      <c r="H202">
        <v>2023</v>
      </c>
      <c r="I202" t="s">
        <v>271</v>
      </c>
      <c r="L202"/>
      <c r="M202">
        <v>2023</v>
      </c>
      <c r="O202" t="s">
        <v>45</v>
      </c>
      <c r="P202" s="9"/>
      <c r="Q202" t="s">
        <v>1313</v>
      </c>
      <c r="R202" s="7" t="s">
        <v>489</v>
      </c>
      <c r="S202" s="66">
        <v>15000.81</v>
      </c>
      <c r="T202" s="154"/>
    </row>
    <row r="203" spans="1:20" s="7" customFormat="1" x14ac:dyDescent="0.3">
      <c r="A203" s="7" t="s">
        <v>369</v>
      </c>
      <c r="C203" s="8" t="s">
        <v>469</v>
      </c>
      <c r="D203" t="s">
        <v>36</v>
      </c>
      <c r="E203" t="s">
        <v>37</v>
      </c>
      <c r="F203" t="s">
        <v>38</v>
      </c>
      <c r="G203" t="s">
        <v>39</v>
      </c>
      <c r="H203">
        <v>2023</v>
      </c>
      <c r="I203" t="s">
        <v>271</v>
      </c>
      <c r="L203"/>
      <c r="M203">
        <v>2023</v>
      </c>
      <c r="O203" t="s">
        <v>45</v>
      </c>
      <c r="P203" s="9"/>
      <c r="Q203" t="s">
        <v>1313</v>
      </c>
      <c r="R203" s="7" t="s">
        <v>490</v>
      </c>
      <c r="S203" s="66">
        <v>33084.800000000003</v>
      </c>
      <c r="T203" s="154"/>
    </row>
    <row r="204" spans="1:20" s="7" customFormat="1" x14ac:dyDescent="0.3">
      <c r="A204" s="7" t="s">
        <v>369</v>
      </c>
      <c r="C204" s="8" t="s">
        <v>469</v>
      </c>
      <c r="D204" t="s">
        <v>36</v>
      </c>
      <c r="E204" t="s">
        <v>37</v>
      </c>
      <c r="F204" t="s">
        <v>38</v>
      </c>
      <c r="G204" t="s">
        <v>39</v>
      </c>
      <c r="H204">
        <v>2023</v>
      </c>
      <c r="I204" t="s">
        <v>271</v>
      </c>
      <c r="L204"/>
      <c r="M204">
        <v>2023</v>
      </c>
      <c r="O204" t="s">
        <v>45</v>
      </c>
      <c r="P204" s="9"/>
      <c r="Q204" t="s">
        <v>1314</v>
      </c>
      <c r="R204" s="7" t="s">
        <v>491</v>
      </c>
      <c r="S204" s="66">
        <f>SUM(S202:S203)</f>
        <v>48085.61</v>
      </c>
      <c r="T204" s="154"/>
    </row>
    <row r="205" spans="1:20" s="7" customFormat="1" x14ac:dyDescent="0.3">
      <c r="A205" s="7" t="s">
        <v>369</v>
      </c>
      <c r="C205" s="8" t="s">
        <v>469</v>
      </c>
      <c r="D205" t="s">
        <v>36</v>
      </c>
      <c r="E205" t="s">
        <v>37</v>
      </c>
      <c r="F205" t="s">
        <v>38</v>
      </c>
      <c r="G205" t="s">
        <v>39</v>
      </c>
      <c r="H205">
        <v>2023</v>
      </c>
      <c r="I205" t="s">
        <v>271</v>
      </c>
      <c r="L205"/>
      <c r="M205">
        <v>2023</v>
      </c>
      <c r="O205" t="s">
        <v>45</v>
      </c>
      <c r="P205" s="9"/>
      <c r="Q205" t="s">
        <v>1309</v>
      </c>
      <c r="R205" s="7" t="s">
        <v>497</v>
      </c>
      <c r="S205" s="66">
        <v>39447.699999999997</v>
      </c>
      <c r="T205" s="154"/>
    </row>
    <row r="206" spans="1:20" s="7" customFormat="1" x14ac:dyDescent="0.3">
      <c r="A206" s="7" t="s">
        <v>369</v>
      </c>
      <c r="C206" s="8" t="s">
        <v>469</v>
      </c>
      <c r="D206" t="s">
        <v>36</v>
      </c>
      <c r="E206" t="s">
        <v>37</v>
      </c>
      <c r="F206" t="s">
        <v>38</v>
      </c>
      <c r="G206" t="s">
        <v>39</v>
      </c>
      <c r="H206">
        <v>2023</v>
      </c>
      <c r="I206" t="s">
        <v>271</v>
      </c>
      <c r="L206"/>
      <c r="M206">
        <v>2023</v>
      </c>
      <c r="O206" t="s">
        <v>45</v>
      </c>
      <c r="P206" s="9"/>
      <c r="Q206" t="s">
        <v>1309</v>
      </c>
      <c r="R206" s="7" t="s">
        <v>498</v>
      </c>
      <c r="S206" s="66">
        <v>130007.38</v>
      </c>
      <c r="T206" s="154"/>
    </row>
    <row r="207" spans="1:20" s="7" customFormat="1" x14ac:dyDescent="0.3">
      <c r="A207" s="7" t="s">
        <v>369</v>
      </c>
      <c r="C207" s="8" t="s">
        <v>469</v>
      </c>
      <c r="D207" t="s">
        <v>36</v>
      </c>
      <c r="E207" t="s">
        <v>37</v>
      </c>
      <c r="F207" t="s">
        <v>38</v>
      </c>
      <c r="G207" t="s">
        <v>39</v>
      </c>
      <c r="H207">
        <v>2023</v>
      </c>
      <c r="I207" t="s">
        <v>271</v>
      </c>
      <c r="L207"/>
      <c r="M207">
        <v>2023</v>
      </c>
      <c r="O207" t="s">
        <v>45</v>
      </c>
      <c r="P207" s="9"/>
      <c r="Q207" t="s">
        <v>1319</v>
      </c>
      <c r="R207" s="68" t="s">
        <v>499</v>
      </c>
      <c r="S207" s="70">
        <f>(S184/S188)*100</f>
        <v>47.156204696483194</v>
      </c>
      <c r="T207" s="154"/>
    </row>
    <row r="208" spans="1:20" s="7" customFormat="1" x14ac:dyDescent="0.3">
      <c r="A208" s="7" t="s">
        <v>369</v>
      </c>
      <c r="C208" s="8" t="s">
        <v>469</v>
      </c>
      <c r="D208" t="s">
        <v>36</v>
      </c>
      <c r="E208" t="s">
        <v>37</v>
      </c>
      <c r="F208" t="s">
        <v>38</v>
      </c>
      <c r="G208" t="s">
        <v>39</v>
      </c>
      <c r="H208">
        <v>2023</v>
      </c>
      <c r="I208" t="s">
        <v>271</v>
      </c>
      <c r="L208"/>
      <c r="M208">
        <v>2023</v>
      </c>
      <c r="O208" t="s">
        <v>45</v>
      </c>
      <c r="P208" s="9"/>
      <c r="Q208" t="s">
        <v>1320</v>
      </c>
      <c r="R208" s="68" t="s">
        <v>501</v>
      </c>
      <c r="S208" s="70">
        <f t="shared" ref="S208:S209" si="7">(S185/S189)*100</f>
        <v>38.368026536512453</v>
      </c>
      <c r="T208" s="154"/>
    </row>
    <row r="209" spans="1:20" s="7" customFormat="1" x14ac:dyDescent="0.3">
      <c r="A209" s="7" t="s">
        <v>369</v>
      </c>
      <c r="C209" s="8" t="s">
        <v>469</v>
      </c>
      <c r="D209" t="s">
        <v>36</v>
      </c>
      <c r="E209" t="s">
        <v>37</v>
      </c>
      <c r="F209" t="s">
        <v>38</v>
      </c>
      <c r="G209" t="s">
        <v>39</v>
      </c>
      <c r="H209">
        <v>2023</v>
      </c>
      <c r="I209" t="s">
        <v>271</v>
      </c>
      <c r="L209"/>
      <c r="M209">
        <v>2023</v>
      </c>
      <c r="O209" t="s">
        <v>45</v>
      </c>
      <c r="P209" s="9"/>
      <c r="Q209" t="s">
        <v>1321</v>
      </c>
      <c r="R209" s="68" t="s">
        <v>503</v>
      </c>
      <c r="S209" s="70">
        <f t="shared" si="7"/>
        <v>36.169078526176492</v>
      </c>
      <c r="T209" s="154"/>
    </row>
    <row r="210" spans="1:20" s="7" customFormat="1" x14ac:dyDescent="0.3">
      <c r="A210" s="7" t="s">
        <v>369</v>
      </c>
      <c r="C210" s="8" t="s">
        <v>469</v>
      </c>
      <c r="D210" t="s">
        <v>36</v>
      </c>
      <c r="E210" t="s">
        <v>37</v>
      </c>
      <c r="F210" t="s">
        <v>38</v>
      </c>
      <c r="G210" t="s">
        <v>39</v>
      </c>
      <c r="H210">
        <v>2023</v>
      </c>
      <c r="I210" t="s">
        <v>271</v>
      </c>
      <c r="L210"/>
      <c r="M210">
        <v>2023</v>
      </c>
      <c r="O210" t="s">
        <v>45</v>
      </c>
      <c r="P210" s="9"/>
      <c r="Q210" t="s">
        <v>1322</v>
      </c>
      <c r="R210" s="85" t="s">
        <v>500</v>
      </c>
      <c r="S210" s="83">
        <f>((S184+S185+S186)/(S188+S189+S190))*100</f>
        <v>40.071464389071068</v>
      </c>
      <c r="T210" s="154"/>
    </row>
    <row r="211" spans="1:20" s="7" customFormat="1" x14ac:dyDescent="0.3">
      <c r="A211" s="7" t="s">
        <v>369</v>
      </c>
      <c r="C211" s="8" t="s">
        <v>469</v>
      </c>
      <c r="D211" t="s">
        <v>36</v>
      </c>
      <c r="E211" t="s">
        <v>37</v>
      </c>
      <c r="F211" t="s">
        <v>38</v>
      </c>
      <c r="G211" t="s">
        <v>39</v>
      </c>
      <c r="H211">
        <v>2023</v>
      </c>
      <c r="I211" t="s">
        <v>271</v>
      </c>
      <c r="L211"/>
      <c r="M211">
        <v>2023</v>
      </c>
      <c r="O211" t="s">
        <v>45</v>
      </c>
      <c r="P211" s="9"/>
      <c r="Q211" t="s">
        <v>1319</v>
      </c>
      <c r="R211" s="68" t="s">
        <v>502</v>
      </c>
      <c r="S211" s="70">
        <f>(S194/S197)*100</f>
        <v>35.774779155074995</v>
      </c>
      <c r="T211" s="154"/>
    </row>
    <row r="212" spans="1:20" s="7" customFormat="1" x14ac:dyDescent="0.3">
      <c r="A212" s="7" t="s">
        <v>369</v>
      </c>
      <c r="C212" s="8" t="s">
        <v>469</v>
      </c>
      <c r="D212" t="s">
        <v>36</v>
      </c>
      <c r="E212" t="s">
        <v>37</v>
      </c>
      <c r="F212" t="s">
        <v>38</v>
      </c>
      <c r="G212" t="s">
        <v>39</v>
      </c>
      <c r="H212">
        <v>2023</v>
      </c>
      <c r="I212" t="s">
        <v>271</v>
      </c>
      <c r="L212"/>
      <c r="M212">
        <v>2023</v>
      </c>
      <c r="O212" t="s">
        <v>45</v>
      </c>
      <c r="P212" s="9"/>
      <c r="Q212" t="s">
        <v>1323</v>
      </c>
      <c r="R212" s="68" t="s">
        <v>505</v>
      </c>
      <c r="S212" s="70">
        <f>(S195/S198)*100</f>
        <v>30.324539135135648</v>
      </c>
      <c r="T212" s="154"/>
    </row>
    <row r="213" spans="1:20" s="7" customFormat="1" x14ac:dyDescent="0.3">
      <c r="A213" s="7" t="s">
        <v>369</v>
      </c>
      <c r="C213" s="8" t="s">
        <v>469</v>
      </c>
      <c r="D213" t="s">
        <v>36</v>
      </c>
      <c r="E213" t="s">
        <v>37</v>
      </c>
      <c r="F213" t="s">
        <v>38</v>
      </c>
      <c r="G213" t="s">
        <v>39</v>
      </c>
      <c r="H213">
        <v>2023</v>
      </c>
      <c r="I213" t="s">
        <v>271</v>
      </c>
      <c r="L213"/>
      <c r="M213">
        <v>2023</v>
      </c>
      <c r="O213" t="s">
        <v>45</v>
      </c>
      <c r="P213" s="9"/>
      <c r="Q213" t="s">
        <v>1324</v>
      </c>
      <c r="R213" s="85" t="s">
        <v>504</v>
      </c>
      <c r="S213" s="83">
        <f>((S194+S195)/(S197+S198))*100</f>
        <v>34.978580466383789</v>
      </c>
      <c r="T213" s="154"/>
    </row>
    <row r="214" spans="1:20" s="7" customFormat="1" x14ac:dyDescent="0.3">
      <c r="A214" s="7" t="s">
        <v>369</v>
      </c>
      <c r="C214" s="8" t="s">
        <v>469</v>
      </c>
      <c r="D214" t="s">
        <v>36</v>
      </c>
      <c r="E214" t="s">
        <v>37</v>
      </c>
      <c r="F214" t="s">
        <v>38</v>
      </c>
      <c r="G214" t="s">
        <v>39</v>
      </c>
      <c r="H214">
        <v>2023</v>
      </c>
      <c r="I214" t="s">
        <v>271</v>
      </c>
      <c r="L214"/>
      <c r="M214">
        <v>2023</v>
      </c>
      <c r="O214" t="s">
        <v>45</v>
      </c>
      <c r="P214" s="9"/>
      <c r="Q214" t="s">
        <v>1325</v>
      </c>
      <c r="R214" s="68" t="s">
        <v>506</v>
      </c>
      <c r="S214" s="70">
        <f>(S202/S205)*100</f>
        <v>38.027083961802596</v>
      </c>
      <c r="T214" s="154"/>
    </row>
    <row r="215" spans="1:20" s="7" customFormat="1" x14ac:dyDescent="0.3">
      <c r="A215" s="7" t="s">
        <v>369</v>
      </c>
      <c r="C215" s="8" t="s">
        <v>469</v>
      </c>
      <c r="D215" t="s">
        <v>36</v>
      </c>
      <c r="E215" t="s">
        <v>37</v>
      </c>
      <c r="F215" t="s">
        <v>38</v>
      </c>
      <c r="G215" t="s">
        <v>39</v>
      </c>
      <c r="H215">
        <v>2023</v>
      </c>
      <c r="I215" t="s">
        <v>271</v>
      </c>
      <c r="L215"/>
      <c r="M215">
        <v>2023</v>
      </c>
      <c r="O215" t="s">
        <v>45</v>
      </c>
      <c r="P215" s="9"/>
      <c r="Q215" t="s">
        <v>1325</v>
      </c>
      <c r="R215" s="68" t="s">
        <v>507</v>
      </c>
      <c r="S215" s="70">
        <f>(S203/S206)*100</f>
        <v>25.448401467670529</v>
      </c>
      <c r="T215" s="154"/>
    </row>
    <row r="216" spans="1:20" s="7" customFormat="1" x14ac:dyDescent="0.3">
      <c r="A216" s="7" t="s">
        <v>369</v>
      </c>
      <c r="C216" s="8" t="s">
        <v>469</v>
      </c>
      <c r="D216" t="s">
        <v>36</v>
      </c>
      <c r="E216" t="s">
        <v>37</v>
      </c>
      <c r="F216" t="s">
        <v>38</v>
      </c>
      <c r="G216" t="s">
        <v>39</v>
      </c>
      <c r="H216">
        <v>2023</v>
      </c>
      <c r="I216" t="s">
        <v>271</v>
      </c>
      <c r="L216"/>
      <c r="M216">
        <v>2023</v>
      </c>
      <c r="O216" t="s">
        <v>45</v>
      </c>
      <c r="P216" s="9"/>
      <c r="Q216" t="s">
        <v>1312</v>
      </c>
      <c r="R216" s="85" t="s">
        <v>508</v>
      </c>
      <c r="S216" s="83">
        <f>((S202+S203)/(S205+S206))*100</f>
        <v>28.376611666053325</v>
      </c>
      <c r="T216" s="154"/>
    </row>
    <row r="217" spans="1:20" s="7" customFormat="1" x14ac:dyDescent="0.3">
      <c r="A217" s="7" t="s">
        <v>34</v>
      </c>
      <c r="C217" s="8" t="s">
        <v>511</v>
      </c>
      <c r="D217" t="s">
        <v>36</v>
      </c>
      <c r="E217" t="s">
        <v>37</v>
      </c>
      <c r="F217" t="s">
        <v>38</v>
      </c>
      <c r="G217" t="s">
        <v>39</v>
      </c>
      <c r="H217">
        <v>2023</v>
      </c>
      <c r="I217" t="s">
        <v>271</v>
      </c>
      <c r="L217"/>
      <c r="M217">
        <v>2023</v>
      </c>
      <c r="O217" t="s">
        <v>45</v>
      </c>
      <c r="P217" s="9"/>
      <c r="Q217" t="s">
        <v>1326</v>
      </c>
      <c r="R217" t="s">
        <v>512</v>
      </c>
      <c r="S217">
        <v>357.12900000000002</v>
      </c>
      <c r="T217" s="154"/>
    </row>
    <row r="218" spans="1:20" s="7" customFormat="1" x14ac:dyDescent="0.3">
      <c r="A218" s="7" t="s">
        <v>34</v>
      </c>
      <c r="C218" s="8" t="s">
        <v>511</v>
      </c>
      <c r="D218" t="s">
        <v>36</v>
      </c>
      <c r="E218" t="s">
        <v>37</v>
      </c>
      <c r="F218" t="s">
        <v>38</v>
      </c>
      <c r="G218" t="s">
        <v>39</v>
      </c>
      <c r="H218">
        <v>2023</v>
      </c>
      <c r="I218" t="s">
        <v>271</v>
      </c>
      <c r="L218"/>
      <c r="M218">
        <v>2023</v>
      </c>
      <c r="O218" t="s">
        <v>45</v>
      </c>
      <c r="P218" s="9"/>
      <c r="Q218" t="s">
        <v>1327</v>
      </c>
      <c r="R218" t="s">
        <v>513</v>
      </c>
      <c r="S218">
        <v>44.527999999999999</v>
      </c>
      <c r="T218" s="154"/>
    </row>
    <row r="219" spans="1:20" s="7" customFormat="1" x14ac:dyDescent="0.3">
      <c r="A219" s="7" t="s">
        <v>34</v>
      </c>
      <c r="C219" s="8" t="s">
        <v>511</v>
      </c>
      <c r="D219" t="s">
        <v>36</v>
      </c>
      <c r="E219" t="s">
        <v>37</v>
      </c>
      <c r="F219" t="s">
        <v>38</v>
      </c>
      <c r="G219" t="s">
        <v>39</v>
      </c>
      <c r="H219">
        <v>2023</v>
      </c>
      <c r="I219" t="s">
        <v>271</v>
      </c>
      <c r="L219"/>
      <c r="M219">
        <v>2023</v>
      </c>
      <c r="O219" t="s">
        <v>45</v>
      </c>
      <c r="P219" s="9"/>
      <c r="Q219" t="s">
        <v>1328</v>
      </c>
      <c r="R219" t="s">
        <v>514</v>
      </c>
      <c r="S219">
        <v>22.210999999999999</v>
      </c>
      <c r="T219" s="154"/>
    </row>
    <row r="220" spans="1:20" s="7" customFormat="1" x14ac:dyDescent="0.3">
      <c r="A220" s="7" t="s">
        <v>34</v>
      </c>
      <c r="C220" s="8" t="s">
        <v>511</v>
      </c>
      <c r="D220" t="s">
        <v>36</v>
      </c>
      <c r="E220" t="s">
        <v>37</v>
      </c>
      <c r="F220" t="s">
        <v>38</v>
      </c>
      <c r="G220" t="s">
        <v>39</v>
      </c>
      <c r="H220">
        <v>2023</v>
      </c>
      <c r="I220" t="s">
        <v>271</v>
      </c>
      <c r="L220"/>
      <c r="M220">
        <v>2023</v>
      </c>
      <c r="O220" t="s">
        <v>45</v>
      </c>
      <c r="P220" s="9"/>
      <c r="Q220" t="s">
        <v>1329</v>
      </c>
      <c r="R220" t="s">
        <v>515</v>
      </c>
      <c r="S220">
        <v>6.5419999999999998</v>
      </c>
      <c r="T220" s="154"/>
    </row>
    <row r="221" spans="1:20" s="7" customFormat="1" x14ac:dyDescent="0.3">
      <c r="A221" s="7" t="s">
        <v>34</v>
      </c>
      <c r="C221" s="8" t="s">
        <v>511</v>
      </c>
      <c r="D221" t="s">
        <v>36</v>
      </c>
      <c r="E221" t="s">
        <v>37</v>
      </c>
      <c r="F221" t="s">
        <v>38</v>
      </c>
      <c r="G221" t="s">
        <v>39</v>
      </c>
      <c r="H221">
        <v>2023</v>
      </c>
      <c r="I221" t="s">
        <v>271</v>
      </c>
      <c r="L221"/>
      <c r="M221">
        <v>2023</v>
      </c>
      <c r="O221" t="s">
        <v>45</v>
      </c>
      <c r="P221" s="9"/>
      <c r="Q221" t="s">
        <v>1330</v>
      </c>
      <c r="R221" t="s">
        <v>516</v>
      </c>
      <c r="S221">
        <v>5.2839999999999998</v>
      </c>
      <c r="T221" s="154"/>
    </row>
    <row r="222" spans="1:20" s="7" customFormat="1" x14ac:dyDescent="0.3">
      <c r="A222" s="7" t="s">
        <v>34</v>
      </c>
      <c r="C222" s="8" t="s">
        <v>511</v>
      </c>
      <c r="D222" t="s">
        <v>36</v>
      </c>
      <c r="E222" t="s">
        <v>37</v>
      </c>
      <c r="F222" t="s">
        <v>38</v>
      </c>
      <c r="G222" t="s">
        <v>39</v>
      </c>
      <c r="H222">
        <v>2023</v>
      </c>
      <c r="I222" t="s">
        <v>271</v>
      </c>
      <c r="L222"/>
      <c r="M222">
        <v>2023</v>
      </c>
      <c r="O222" t="s">
        <v>45</v>
      </c>
      <c r="P222" s="9"/>
      <c r="Q222" t="s">
        <v>1331</v>
      </c>
      <c r="R222" t="s">
        <v>517</v>
      </c>
      <c r="S222">
        <v>2.202</v>
      </c>
      <c r="T222" s="154"/>
    </row>
    <row r="223" spans="1:20" s="7" customFormat="1" x14ac:dyDescent="0.3">
      <c r="A223" s="7" t="s">
        <v>34</v>
      </c>
      <c r="C223" s="8" t="s">
        <v>511</v>
      </c>
      <c r="D223" t="s">
        <v>36</v>
      </c>
      <c r="E223" t="s">
        <v>37</v>
      </c>
      <c r="F223" t="s">
        <v>38</v>
      </c>
      <c r="G223" t="s">
        <v>39</v>
      </c>
      <c r="H223">
        <v>2023</v>
      </c>
      <c r="I223" t="s">
        <v>271</v>
      </c>
      <c r="L223"/>
      <c r="M223">
        <v>2023</v>
      </c>
      <c r="O223" t="s">
        <v>45</v>
      </c>
      <c r="P223" s="9"/>
      <c r="Q223" t="s">
        <v>1332</v>
      </c>
      <c r="R223" s="68" t="s">
        <v>518</v>
      </c>
      <c r="S223" s="70">
        <f>SUM(S217:S222)</f>
        <v>437.89600000000002</v>
      </c>
      <c r="T223" s="154"/>
    </row>
    <row r="224" spans="1:20" s="7" customFormat="1" x14ac:dyDescent="0.3">
      <c r="A224" s="7" t="s">
        <v>34</v>
      </c>
      <c r="C224" s="8" t="s">
        <v>511</v>
      </c>
      <c r="D224" t="s">
        <v>36</v>
      </c>
      <c r="E224" t="s">
        <v>37</v>
      </c>
      <c r="F224" t="s">
        <v>38</v>
      </c>
      <c r="G224" t="s">
        <v>39</v>
      </c>
      <c r="H224">
        <v>2023</v>
      </c>
      <c r="I224" t="s">
        <v>271</v>
      </c>
      <c r="L224"/>
      <c r="M224">
        <v>2023</v>
      </c>
      <c r="O224" t="s">
        <v>45</v>
      </c>
      <c r="P224" s="9"/>
      <c r="Q224" t="s">
        <v>1333</v>
      </c>
      <c r="R224" s="7" t="s">
        <v>519</v>
      </c>
      <c r="S224" s="66">
        <v>378022.40000000002</v>
      </c>
      <c r="T224" s="154"/>
    </row>
    <row r="225" spans="1:20" s="7" customFormat="1" x14ac:dyDescent="0.3">
      <c r="A225" s="7" t="s">
        <v>34</v>
      </c>
      <c r="C225" s="8" t="s">
        <v>511</v>
      </c>
      <c r="D225" t="s">
        <v>36</v>
      </c>
      <c r="E225" t="s">
        <v>37</v>
      </c>
      <c r="F225" t="s">
        <v>38</v>
      </c>
      <c r="G225" t="s">
        <v>39</v>
      </c>
      <c r="H225">
        <v>2023</v>
      </c>
      <c r="I225" t="s">
        <v>271</v>
      </c>
      <c r="L225"/>
      <c r="M225">
        <v>2023</v>
      </c>
      <c r="O225" t="s">
        <v>45</v>
      </c>
      <c r="P225" s="9"/>
      <c r="Q225" t="s">
        <v>1333</v>
      </c>
      <c r="R225" s="7" t="s">
        <v>520</v>
      </c>
      <c r="S225" s="66">
        <v>437896.5</v>
      </c>
      <c r="T225" s="154"/>
    </row>
    <row r="226" spans="1:20" s="7" customFormat="1" x14ac:dyDescent="0.3">
      <c r="A226" s="7" t="s">
        <v>34</v>
      </c>
      <c r="C226" s="8" t="s">
        <v>511</v>
      </c>
      <c r="D226" t="s">
        <v>36</v>
      </c>
      <c r="E226" t="s">
        <v>37</v>
      </c>
      <c r="F226" t="s">
        <v>38</v>
      </c>
      <c r="G226" t="s">
        <v>39</v>
      </c>
      <c r="H226">
        <v>2023</v>
      </c>
      <c r="I226" t="s">
        <v>271</v>
      </c>
      <c r="L226"/>
      <c r="M226">
        <v>2023</v>
      </c>
      <c r="O226" t="s">
        <v>45</v>
      </c>
      <c r="P226" s="9"/>
      <c r="Q226" t="s">
        <v>1333</v>
      </c>
      <c r="R226" s="7" t="s">
        <v>521</v>
      </c>
      <c r="S226" s="66">
        <v>2649.69</v>
      </c>
      <c r="T226" s="154"/>
    </row>
    <row r="227" spans="1:20" s="7" customFormat="1" x14ac:dyDescent="0.3">
      <c r="A227" s="7" t="s">
        <v>34</v>
      </c>
      <c r="C227" s="8" t="s">
        <v>511</v>
      </c>
      <c r="D227" t="s">
        <v>36</v>
      </c>
      <c r="E227" t="s">
        <v>37</v>
      </c>
      <c r="F227" t="s">
        <v>38</v>
      </c>
      <c r="G227" t="s">
        <v>39</v>
      </c>
      <c r="H227">
        <v>2023</v>
      </c>
      <c r="I227" t="s">
        <v>271</v>
      </c>
      <c r="L227"/>
      <c r="M227">
        <v>2023</v>
      </c>
      <c r="O227" t="s">
        <v>45</v>
      </c>
      <c r="P227" s="9"/>
      <c r="Q227" t="s">
        <v>1333</v>
      </c>
      <c r="R227" s="7" t="s">
        <v>522</v>
      </c>
      <c r="S227" s="66">
        <v>5990.88</v>
      </c>
      <c r="T227" s="154"/>
    </row>
    <row r="228" spans="1:20" s="7" customFormat="1" x14ac:dyDescent="0.3">
      <c r="A228" s="7" t="s">
        <v>34</v>
      </c>
      <c r="C228" s="8" t="s">
        <v>511</v>
      </c>
      <c r="D228" t="s">
        <v>36</v>
      </c>
      <c r="E228" t="s">
        <v>37</v>
      </c>
      <c r="F228" t="s">
        <v>38</v>
      </c>
      <c r="G228" t="s">
        <v>39</v>
      </c>
      <c r="H228">
        <v>2023</v>
      </c>
      <c r="I228" t="s">
        <v>271</v>
      </c>
      <c r="L228"/>
      <c r="M228">
        <v>2023</v>
      </c>
      <c r="O228" t="s">
        <v>45</v>
      </c>
      <c r="P228" s="9"/>
      <c r="Q228" t="s">
        <v>1333</v>
      </c>
      <c r="R228" s="7" t="s">
        <v>523</v>
      </c>
      <c r="S228" s="66">
        <v>13265.47</v>
      </c>
      <c r="T228" s="154"/>
    </row>
    <row r="229" spans="1:20" s="7" customFormat="1" x14ac:dyDescent="0.3">
      <c r="A229" s="7" t="s">
        <v>34</v>
      </c>
      <c r="C229" s="8" t="s">
        <v>511</v>
      </c>
      <c r="D229" t="s">
        <v>36</v>
      </c>
      <c r="E229" t="s">
        <v>37</v>
      </c>
      <c r="F229" t="s">
        <v>38</v>
      </c>
      <c r="G229" t="s">
        <v>39</v>
      </c>
      <c r="H229">
        <v>2023</v>
      </c>
      <c r="I229" t="s">
        <v>271</v>
      </c>
      <c r="L229"/>
      <c r="M229">
        <v>2023</v>
      </c>
      <c r="O229" t="s">
        <v>45</v>
      </c>
      <c r="P229" s="9"/>
      <c r="Q229" t="s">
        <v>1333</v>
      </c>
      <c r="R229" s="7" t="s">
        <v>524</v>
      </c>
      <c r="S229" s="66">
        <v>17692.97</v>
      </c>
      <c r="T229" s="154"/>
    </row>
    <row r="230" spans="1:20" s="7" customFormat="1" x14ac:dyDescent="0.3">
      <c r="A230" s="7" t="s">
        <v>34</v>
      </c>
      <c r="C230" s="8" t="s">
        <v>511</v>
      </c>
      <c r="D230" t="s">
        <v>36</v>
      </c>
      <c r="E230" t="s">
        <v>37</v>
      </c>
      <c r="F230" t="s">
        <v>38</v>
      </c>
      <c r="G230" t="s">
        <v>39</v>
      </c>
      <c r="H230">
        <v>2023</v>
      </c>
      <c r="I230" t="s">
        <v>271</v>
      </c>
      <c r="L230"/>
      <c r="M230">
        <v>2023</v>
      </c>
      <c r="O230" t="s">
        <v>45</v>
      </c>
      <c r="P230" s="9"/>
      <c r="Q230" t="s">
        <v>1334</v>
      </c>
      <c r="R230" s="7" t="s">
        <v>525</v>
      </c>
      <c r="S230" s="66">
        <v>20.132000000000001</v>
      </c>
      <c r="T230" s="154"/>
    </row>
    <row r="231" spans="1:20" s="7" customFormat="1" x14ac:dyDescent="0.3">
      <c r="A231" s="7" t="s">
        <v>34</v>
      </c>
      <c r="C231" s="8" t="s">
        <v>511</v>
      </c>
      <c r="D231" t="s">
        <v>36</v>
      </c>
      <c r="E231" t="s">
        <v>37</v>
      </c>
      <c r="F231" t="s">
        <v>38</v>
      </c>
      <c r="G231" t="s">
        <v>39</v>
      </c>
      <c r="H231">
        <v>2023</v>
      </c>
      <c r="I231" t="s">
        <v>271</v>
      </c>
      <c r="L231"/>
      <c r="M231">
        <v>2023</v>
      </c>
      <c r="O231" t="s">
        <v>45</v>
      </c>
      <c r="P231" s="9"/>
      <c r="Q231" t="s">
        <v>1335</v>
      </c>
      <c r="R231" s="7" t="s">
        <v>526</v>
      </c>
      <c r="S231" s="66">
        <v>7348.2089999999998</v>
      </c>
      <c r="T231" s="154"/>
    </row>
    <row r="232" spans="1:20" s="7" customFormat="1" x14ac:dyDescent="0.3">
      <c r="A232" s="7" t="s">
        <v>34</v>
      </c>
      <c r="C232" s="8" t="s">
        <v>511</v>
      </c>
      <c r="D232" t="s">
        <v>36</v>
      </c>
      <c r="E232" t="s">
        <v>37</v>
      </c>
      <c r="F232" t="s">
        <v>38</v>
      </c>
      <c r="G232" t="s">
        <v>39</v>
      </c>
      <c r="H232">
        <v>2023</v>
      </c>
      <c r="I232" t="s">
        <v>271</v>
      </c>
      <c r="L232"/>
      <c r="M232">
        <v>2023</v>
      </c>
      <c r="O232" t="s">
        <v>45</v>
      </c>
      <c r="P232" s="9"/>
      <c r="Q232" t="s">
        <v>1336</v>
      </c>
      <c r="R232" s="7" t="s">
        <v>527</v>
      </c>
      <c r="S232" s="66">
        <v>7348209438.1630001</v>
      </c>
      <c r="T232" s="154"/>
    </row>
    <row r="233" spans="1:20" s="7" customFormat="1" x14ac:dyDescent="0.3">
      <c r="A233" s="7" t="s">
        <v>34</v>
      </c>
      <c r="C233" s="8" t="s">
        <v>511</v>
      </c>
      <c r="D233" t="s">
        <v>36</v>
      </c>
      <c r="E233" t="s">
        <v>37</v>
      </c>
      <c r="F233" t="s">
        <v>38</v>
      </c>
      <c r="G233" t="s">
        <v>39</v>
      </c>
      <c r="H233">
        <v>2023</v>
      </c>
      <c r="I233" t="s">
        <v>271</v>
      </c>
      <c r="L233"/>
      <c r="M233">
        <v>2023</v>
      </c>
      <c r="O233" t="s">
        <v>45</v>
      </c>
      <c r="P233" s="9"/>
      <c r="Q233" t="s">
        <v>1337</v>
      </c>
      <c r="R233" s="7" t="s">
        <v>528</v>
      </c>
      <c r="S233" s="66">
        <v>1289159.551</v>
      </c>
      <c r="T233" s="154"/>
    </row>
    <row r="234" spans="1:20" s="7" customFormat="1" x14ac:dyDescent="0.3">
      <c r="A234" s="7" t="s">
        <v>34</v>
      </c>
      <c r="C234" s="8" t="s">
        <v>511</v>
      </c>
      <c r="D234" t="s">
        <v>36</v>
      </c>
      <c r="E234" t="s">
        <v>37</v>
      </c>
      <c r="F234" t="s">
        <v>38</v>
      </c>
      <c r="G234" t="s">
        <v>39</v>
      </c>
      <c r="H234">
        <v>2023</v>
      </c>
      <c r="I234" t="s">
        <v>271</v>
      </c>
      <c r="L234"/>
      <c r="M234">
        <v>2023</v>
      </c>
      <c r="O234" t="s">
        <v>45</v>
      </c>
      <c r="P234" s="9"/>
      <c r="Q234" t="s">
        <v>1338</v>
      </c>
      <c r="R234" s="68" t="s">
        <v>529</v>
      </c>
      <c r="S234" s="89">
        <f>S233</f>
        <v>1289159.551</v>
      </c>
      <c r="T234" s="154"/>
    </row>
    <row r="235" spans="1:20" s="7" customFormat="1" x14ac:dyDescent="0.3">
      <c r="A235" s="7" t="s">
        <v>34</v>
      </c>
      <c r="C235" s="8" t="s">
        <v>511</v>
      </c>
      <c r="D235" t="s">
        <v>36</v>
      </c>
      <c r="E235" t="s">
        <v>37</v>
      </c>
      <c r="F235" t="s">
        <v>38</v>
      </c>
      <c r="G235" t="s">
        <v>39</v>
      </c>
      <c r="H235">
        <v>2023</v>
      </c>
      <c r="I235" t="s">
        <v>271</v>
      </c>
      <c r="L235"/>
      <c r="M235">
        <v>2023</v>
      </c>
      <c r="O235" t="s">
        <v>45</v>
      </c>
      <c r="P235" s="9"/>
      <c r="Q235" t="s">
        <v>1338</v>
      </c>
      <c r="R235" s="7" t="s">
        <v>531</v>
      </c>
      <c r="S235" s="66">
        <v>1187839.578</v>
      </c>
      <c r="T235" s="154"/>
    </row>
    <row r="236" spans="1:20" s="7" customFormat="1" x14ac:dyDescent="0.3">
      <c r="A236" s="7" t="s">
        <v>34</v>
      </c>
      <c r="C236" s="8" t="s">
        <v>511</v>
      </c>
      <c r="D236" t="s">
        <v>36</v>
      </c>
      <c r="E236" t="s">
        <v>37</v>
      </c>
      <c r="F236" t="s">
        <v>38</v>
      </c>
      <c r="G236" t="s">
        <v>39</v>
      </c>
      <c r="H236">
        <v>2023</v>
      </c>
      <c r="I236" t="s">
        <v>271</v>
      </c>
      <c r="L236"/>
      <c r="M236">
        <v>2023</v>
      </c>
      <c r="O236" t="s">
        <v>45</v>
      </c>
      <c r="P236" s="9"/>
      <c r="Q236" t="s">
        <v>1338</v>
      </c>
      <c r="R236" s="7" t="s">
        <v>532</v>
      </c>
      <c r="S236" s="66">
        <v>3303588.6439999999</v>
      </c>
      <c r="T236" s="154"/>
    </row>
    <row r="237" spans="1:20" s="7" customFormat="1" x14ac:dyDescent="0.3">
      <c r="A237" s="7" t="s">
        <v>34</v>
      </c>
      <c r="C237" s="8" t="s">
        <v>511</v>
      </c>
      <c r="D237" t="s">
        <v>36</v>
      </c>
      <c r="E237" t="s">
        <v>37</v>
      </c>
      <c r="F237" t="s">
        <v>38</v>
      </c>
      <c r="G237" t="s">
        <v>39</v>
      </c>
      <c r="H237">
        <v>2023</v>
      </c>
      <c r="I237" t="s">
        <v>271</v>
      </c>
      <c r="L237"/>
      <c r="M237">
        <v>2023</v>
      </c>
      <c r="O237" t="s">
        <v>45</v>
      </c>
      <c r="P237" s="9"/>
      <c r="Q237" t="s">
        <v>1338</v>
      </c>
      <c r="R237" s="7" t="s">
        <v>533</v>
      </c>
      <c r="S237" s="66">
        <v>3403329.949</v>
      </c>
      <c r="T237" s="154"/>
    </row>
    <row r="238" spans="1:20" s="7" customFormat="1" x14ac:dyDescent="0.3">
      <c r="A238" s="7" t="s">
        <v>34</v>
      </c>
      <c r="C238" s="8" t="s">
        <v>511</v>
      </c>
      <c r="D238" t="s">
        <v>36</v>
      </c>
      <c r="E238" t="s">
        <v>37</v>
      </c>
      <c r="F238" t="s">
        <v>38</v>
      </c>
      <c r="G238" t="s">
        <v>39</v>
      </c>
      <c r="H238">
        <v>2023</v>
      </c>
      <c r="I238" t="s">
        <v>271</v>
      </c>
      <c r="L238"/>
      <c r="M238">
        <v>2023</v>
      </c>
      <c r="O238" t="s">
        <v>45</v>
      </c>
      <c r="P238" s="9"/>
      <c r="Q238" t="s">
        <v>1339</v>
      </c>
      <c r="R238" s="68" t="s">
        <v>530</v>
      </c>
      <c r="S238" s="70">
        <f>S234+S236</f>
        <v>4592748.1950000003</v>
      </c>
      <c r="T238" s="154"/>
    </row>
    <row r="239" spans="1:20" s="7" customFormat="1" x14ac:dyDescent="0.3">
      <c r="A239" s="7" t="s">
        <v>34</v>
      </c>
      <c r="C239" s="8" t="s">
        <v>511</v>
      </c>
      <c r="D239" t="s">
        <v>36</v>
      </c>
      <c r="E239" t="s">
        <v>37</v>
      </c>
      <c r="F239" t="s">
        <v>38</v>
      </c>
      <c r="G239" t="s">
        <v>39</v>
      </c>
      <c r="H239">
        <v>2023</v>
      </c>
      <c r="I239" t="s">
        <v>271</v>
      </c>
      <c r="L239"/>
      <c r="M239">
        <v>2023</v>
      </c>
      <c r="O239" t="s">
        <v>45</v>
      </c>
      <c r="P239" s="9"/>
      <c r="Q239" t="s">
        <v>1339</v>
      </c>
      <c r="R239" s="68" t="s">
        <v>534</v>
      </c>
      <c r="S239" s="70">
        <f>S235+S237</f>
        <v>4591169.5269999998</v>
      </c>
      <c r="T239" s="154"/>
    </row>
    <row r="240" spans="1:20" s="7" customFormat="1" x14ac:dyDescent="0.3">
      <c r="A240" s="7" t="s">
        <v>34</v>
      </c>
      <c r="C240" s="8" t="s">
        <v>511</v>
      </c>
      <c r="D240" t="s">
        <v>36</v>
      </c>
      <c r="E240" t="s">
        <v>37</v>
      </c>
      <c r="F240" t="s">
        <v>38</v>
      </c>
      <c r="G240" t="s">
        <v>39</v>
      </c>
      <c r="H240">
        <v>2023</v>
      </c>
      <c r="I240" t="s">
        <v>271</v>
      </c>
      <c r="L240"/>
      <c r="M240">
        <v>2023</v>
      </c>
      <c r="O240" t="s">
        <v>45</v>
      </c>
      <c r="P240" s="9"/>
      <c r="Q240" t="s">
        <v>1340</v>
      </c>
      <c r="R240" s="7" t="s">
        <v>535</v>
      </c>
      <c r="S240" s="66">
        <v>109205.823</v>
      </c>
      <c r="T240" s="154"/>
    </row>
    <row r="241" spans="1:20" s="7" customFormat="1" x14ac:dyDescent="0.3">
      <c r="A241" s="7" t="s">
        <v>34</v>
      </c>
      <c r="C241" s="8" t="s">
        <v>511</v>
      </c>
      <c r="D241" t="s">
        <v>36</v>
      </c>
      <c r="E241" t="s">
        <v>37</v>
      </c>
      <c r="F241" t="s">
        <v>38</v>
      </c>
      <c r="G241" t="s">
        <v>39</v>
      </c>
      <c r="H241">
        <v>2023</v>
      </c>
      <c r="I241" t="s">
        <v>271</v>
      </c>
      <c r="L241"/>
      <c r="M241">
        <v>2023</v>
      </c>
      <c r="O241" t="s">
        <v>45</v>
      </c>
      <c r="P241" s="9"/>
      <c r="Q241" t="s">
        <v>1340</v>
      </c>
      <c r="R241" s="7" t="s">
        <v>536</v>
      </c>
      <c r="S241" s="66">
        <v>105835.57799999999</v>
      </c>
      <c r="T241" s="154"/>
    </row>
    <row r="242" spans="1:20" s="7" customFormat="1" x14ac:dyDescent="0.3">
      <c r="A242" s="7" t="s">
        <v>34</v>
      </c>
      <c r="C242" s="8" t="s">
        <v>511</v>
      </c>
      <c r="D242" t="s">
        <v>36</v>
      </c>
      <c r="E242" t="s">
        <v>37</v>
      </c>
      <c r="F242" t="s">
        <v>38</v>
      </c>
      <c r="G242" t="s">
        <v>39</v>
      </c>
      <c r="H242">
        <v>2023</v>
      </c>
      <c r="I242" t="s">
        <v>271</v>
      </c>
      <c r="L242"/>
      <c r="M242">
        <v>2023</v>
      </c>
      <c r="O242" t="s">
        <v>45</v>
      </c>
      <c r="P242" s="9"/>
      <c r="Q242" t="s">
        <v>1341</v>
      </c>
      <c r="R242" s="7" t="s">
        <v>537</v>
      </c>
      <c r="S242" s="66">
        <v>76908.45</v>
      </c>
      <c r="T242" s="154"/>
    </row>
    <row r="243" spans="1:20" s="7" customFormat="1" x14ac:dyDescent="0.3">
      <c r="A243" s="7" t="s">
        <v>34</v>
      </c>
      <c r="C243" s="8" t="s">
        <v>511</v>
      </c>
      <c r="D243" t="s">
        <v>36</v>
      </c>
      <c r="E243" t="s">
        <v>37</v>
      </c>
      <c r="F243" t="s">
        <v>38</v>
      </c>
      <c r="G243" t="s">
        <v>39</v>
      </c>
      <c r="H243">
        <v>2023</v>
      </c>
      <c r="I243" t="s">
        <v>271</v>
      </c>
      <c r="L243"/>
      <c r="M243">
        <v>2023</v>
      </c>
      <c r="O243" t="s">
        <v>45</v>
      </c>
      <c r="P243" s="9"/>
      <c r="Q243" t="s">
        <v>1342</v>
      </c>
      <c r="R243" s="7" t="s">
        <v>538</v>
      </c>
      <c r="S243" s="66">
        <v>80684.240000000005</v>
      </c>
      <c r="T243" s="154"/>
    </row>
    <row r="244" spans="1:20" s="7" customFormat="1" x14ac:dyDescent="0.3">
      <c r="A244" s="7" t="s">
        <v>34</v>
      </c>
      <c r="C244" s="8" t="s">
        <v>511</v>
      </c>
      <c r="D244" t="s">
        <v>36</v>
      </c>
      <c r="E244" t="s">
        <v>37</v>
      </c>
      <c r="F244" t="s">
        <v>38</v>
      </c>
      <c r="G244" t="s">
        <v>39</v>
      </c>
      <c r="H244">
        <v>2023</v>
      </c>
      <c r="I244" t="s">
        <v>271</v>
      </c>
      <c r="L244"/>
      <c r="M244">
        <v>2023</v>
      </c>
      <c r="O244" t="s">
        <v>45</v>
      </c>
      <c r="P244" s="9"/>
      <c r="Q244" t="s">
        <v>1343</v>
      </c>
      <c r="R244" s="68" t="s">
        <v>539</v>
      </c>
      <c r="S244" s="70">
        <f>(((S225/S239)-(S224/S238))/(S224/S238))*100</f>
        <v>15.878601419761331</v>
      </c>
      <c r="T244" s="154"/>
    </row>
    <row r="245" spans="1:20" s="7" customFormat="1" x14ac:dyDescent="0.3">
      <c r="A245" s="7" t="s">
        <v>34</v>
      </c>
      <c r="C245" s="8" t="s">
        <v>511</v>
      </c>
      <c r="D245" t="s">
        <v>36</v>
      </c>
      <c r="E245" t="s">
        <v>37</v>
      </c>
      <c r="F245" t="s">
        <v>38</v>
      </c>
      <c r="G245" t="s">
        <v>39</v>
      </c>
      <c r="H245">
        <v>2023</v>
      </c>
      <c r="I245" t="s">
        <v>271</v>
      </c>
      <c r="L245"/>
      <c r="M245">
        <v>2023</v>
      </c>
      <c r="O245" t="s">
        <v>45</v>
      </c>
      <c r="P245" s="9"/>
      <c r="Q245" t="s">
        <v>1344</v>
      </c>
      <c r="R245" s="68" t="s">
        <v>540</v>
      </c>
      <c r="S245" s="70">
        <f>(((S229/S241)-(S228/S240))/(S228/S240))*100</f>
        <v>37.62337673871162</v>
      </c>
      <c r="T245" s="154"/>
    </row>
    <row r="246" spans="1:20" s="7" customFormat="1" x14ac:dyDescent="0.3">
      <c r="A246" s="7" t="s">
        <v>34</v>
      </c>
      <c r="C246" s="8" t="s">
        <v>511</v>
      </c>
      <c r="D246" t="s">
        <v>36</v>
      </c>
      <c r="E246" t="s">
        <v>37</v>
      </c>
      <c r="F246" t="s">
        <v>38</v>
      </c>
      <c r="G246" t="s">
        <v>39</v>
      </c>
      <c r="H246">
        <v>2023</v>
      </c>
      <c r="I246" t="s">
        <v>271</v>
      </c>
      <c r="L246"/>
      <c r="M246">
        <v>2023</v>
      </c>
      <c r="O246" t="s">
        <v>45</v>
      </c>
      <c r="P246" s="9"/>
      <c r="Q246" t="s">
        <v>1345</v>
      </c>
      <c r="R246" s="68" t="s">
        <v>541</v>
      </c>
      <c r="S246" s="70">
        <f>(((S227/S243)-(S226/S242))/(S226/S242))*100</f>
        <v>115.51668588750286</v>
      </c>
      <c r="T246" s="154"/>
    </row>
    <row r="247" spans="1:20" s="8" customFormat="1" ht="138" customHeight="1" x14ac:dyDescent="0.3">
      <c r="A247" t="s">
        <v>34</v>
      </c>
      <c r="B247"/>
      <c r="C247" t="s">
        <v>35</v>
      </c>
      <c r="D247" t="s">
        <v>36</v>
      </c>
      <c r="E247" t="s">
        <v>37</v>
      </c>
      <c r="F247" t="s">
        <v>38</v>
      </c>
      <c r="G247" t="s">
        <v>39</v>
      </c>
      <c r="H247">
        <v>2023</v>
      </c>
      <c r="I247" t="s">
        <v>271</v>
      </c>
      <c r="J247" t="s">
        <v>40</v>
      </c>
      <c r="K247"/>
      <c r="L247" t="s">
        <v>41</v>
      </c>
      <c r="M247">
        <v>2023</v>
      </c>
      <c r="N247" t="s">
        <v>42</v>
      </c>
      <c r="O247" t="s">
        <v>45</v>
      </c>
      <c r="P247" t="s">
        <v>46</v>
      </c>
      <c r="Q247" t="s">
        <v>1346</v>
      </c>
      <c r="R247" t="s">
        <v>43</v>
      </c>
      <c r="S247">
        <v>18</v>
      </c>
    </row>
    <row r="248" spans="1:20" s="7" customFormat="1" x14ac:dyDescent="0.3">
      <c r="A248" t="s">
        <v>34</v>
      </c>
      <c r="B248"/>
      <c r="C248" t="s">
        <v>35</v>
      </c>
      <c r="D248" t="s">
        <v>36</v>
      </c>
      <c r="E248" t="s">
        <v>37</v>
      </c>
      <c r="F248" t="s">
        <v>38</v>
      </c>
      <c r="G248" t="s">
        <v>39</v>
      </c>
      <c r="H248">
        <v>2023</v>
      </c>
      <c r="I248" t="s">
        <v>271</v>
      </c>
      <c r="J248"/>
      <c r="K248"/>
      <c r="L248" t="s">
        <v>41</v>
      </c>
      <c r="M248">
        <v>2023</v>
      </c>
      <c r="N248" t="s">
        <v>42</v>
      </c>
      <c r="O248" t="s">
        <v>45</v>
      </c>
      <c r="P248" t="s">
        <v>46</v>
      </c>
      <c r="Q248" t="s">
        <v>1347</v>
      </c>
      <c r="R248" t="s">
        <v>48</v>
      </c>
      <c r="S248">
        <v>29</v>
      </c>
    </row>
    <row r="249" spans="1:20" s="7" customFormat="1" ht="61.95" customHeight="1" x14ac:dyDescent="0.3">
      <c r="A249" t="s">
        <v>34</v>
      </c>
      <c r="B249"/>
      <c r="C249" t="s">
        <v>35</v>
      </c>
      <c r="D249" t="s">
        <v>36</v>
      </c>
      <c r="E249" t="s">
        <v>37</v>
      </c>
      <c r="F249" t="s">
        <v>38</v>
      </c>
      <c r="G249" t="s">
        <v>39</v>
      </c>
      <c r="H249">
        <v>2023</v>
      </c>
      <c r="I249" t="s">
        <v>271</v>
      </c>
      <c r="J249"/>
      <c r="K249"/>
      <c r="L249" t="s">
        <v>41</v>
      </c>
      <c r="M249">
        <v>2023</v>
      </c>
      <c r="N249" t="s">
        <v>42</v>
      </c>
      <c r="O249" t="s">
        <v>45</v>
      </c>
      <c r="P249" t="s">
        <v>46</v>
      </c>
      <c r="Q249" t="s">
        <v>1346</v>
      </c>
      <c r="R249" t="s">
        <v>49</v>
      </c>
      <c r="S249">
        <v>17</v>
      </c>
    </row>
    <row r="250" spans="1:20" s="7" customFormat="1" x14ac:dyDescent="0.3">
      <c r="A250" t="s">
        <v>34</v>
      </c>
      <c r="B250"/>
      <c r="C250" t="s">
        <v>35</v>
      </c>
      <c r="D250" t="s">
        <v>36</v>
      </c>
      <c r="E250" t="s">
        <v>37</v>
      </c>
      <c r="F250" t="s">
        <v>38</v>
      </c>
      <c r="G250" t="s">
        <v>39</v>
      </c>
      <c r="H250">
        <v>2023</v>
      </c>
      <c r="I250" t="s">
        <v>271</v>
      </c>
      <c r="J250"/>
      <c r="K250"/>
      <c r="L250" t="s">
        <v>41</v>
      </c>
      <c r="M250">
        <v>2023</v>
      </c>
      <c r="N250" t="s">
        <v>42</v>
      </c>
      <c r="O250" t="s">
        <v>45</v>
      </c>
      <c r="P250" t="s">
        <v>46</v>
      </c>
      <c r="Q250" t="s">
        <v>1348</v>
      </c>
      <c r="R250" t="s">
        <v>50</v>
      </c>
      <c r="S250">
        <v>22</v>
      </c>
    </row>
    <row r="251" spans="1:20" s="7" customFormat="1" x14ac:dyDescent="0.3">
      <c r="A251" t="s">
        <v>34</v>
      </c>
      <c r="B251"/>
      <c r="C251" t="s">
        <v>35</v>
      </c>
      <c r="D251" t="s">
        <v>36</v>
      </c>
      <c r="E251" t="s">
        <v>37</v>
      </c>
      <c r="F251" t="s">
        <v>38</v>
      </c>
      <c r="G251" t="s">
        <v>39</v>
      </c>
      <c r="H251">
        <v>2023</v>
      </c>
      <c r="I251" t="s">
        <v>271</v>
      </c>
      <c r="J251"/>
      <c r="K251"/>
      <c r="L251" t="s">
        <v>41</v>
      </c>
      <c r="M251">
        <v>2023</v>
      </c>
      <c r="N251" t="s">
        <v>42</v>
      </c>
      <c r="O251" t="s">
        <v>45</v>
      </c>
      <c r="P251" t="s">
        <v>46</v>
      </c>
      <c r="Q251" t="s">
        <v>1346</v>
      </c>
      <c r="R251" t="s">
        <v>51</v>
      </c>
      <c r="S251">
        <v>1</v>
      </c>
    </row>
    <row r="252" spans="1:20" s="7" customFormat="1" x14ac:dyDescent="0.3">
      <c r="A252" t="s">
        <v>34</v>
      </c>
      <c r="B252"/>
      <c r="C252" t="s">
        <v>35</v>
      </c>
      <c r="D252" t="s">
        <v>36</v>
      </c>
      <c r="E252" t="s">
        <v>37</v>
      </c>
      <c r="F252" t="s">
        <v>38</v>
      </c>
      <c r="G252" t="s">
        <v>39</v>
      </c>
      <c r="H252">
        <v>2023</v>
      </c>
      <c r="I252" t="s">
        <v>271</v>
      </c>
      <c r="J252"/>
      <c r="K252"/>
      <c r="L252" t="s">
        <v>41</v>
      </c>
      <c r="M252">
        <v>2023</v>
      </c>
      <c r="N252" t="s">
        <v>42</v>
      </c>
      <c r="O252" t="s">
        <v>45</v>
      </c>
      <c r="P252" t="s">
        <v>46</v>
      </c>
      <c r="Q252" t="s">
        <v>1347</v>
      </c>
      <c r="R252" t="s">
        <v>52</v>
      </c>
      <c r="S252">
        <v>5</v>
      </c>
    </row>
    <row r="253" spans="1:20" s="7" customFormat="1" x14ac:dyDescent="0.3">
      <c r="A253" t="s">
        <v>34</v>
      </c>
      <c r="B253"/>
      <c r="C253" t="s">
        <v>548</v>
      </c>
      <c r="D253" t="s">
        <v>36</v>
      </c>
      <c r="E253" t="s">
        <v>37</v>
      </c>
      <c r="F253" t="s">
        <v>38</v>
      </c>
      <c r="G253" t="s">
        <v>39</v>
      </c>
      <c r="H253">
        <v>2023</v>
      </c>
      <c r="I253" t="s">
        <v>271</v>
      </c>
      <c r="J253"/>
      <c r="K253"/>
      <c r="L253"/>
      <c r="M253">
        <v>2023</v>
      </c>
      <c r="N253"/>
      <c r="O253" t="s">
        <v>45</v>
      </c>
      <c r="P253"/>
      <c r="Q253" t="s">
        <v>1349</v>
      </c>
      <c r="R253" t="s">
        <v>549</v>
      </c>
      <c r="S253">
        <v>0</v>
      </c>
    </row>
    <row r="254" spans="1:20" s="7" customFormat="1" x14ac:dyDescent="0.3">
      <c r="A254" t="s">
        <v>34</v>
      </c>
      <c r="B254"/>
      <c r="C254" t="s">
        <v>548</v>
      </c>
      <c r="D254" t="s">
        <v>36</v>
      </c>
      <c r="E254" t="s">
        <v>37</v>
      </c>
      <c r="F254" t="s">
        <v>38</v>
      </c>
      <c r="G254" t="s">
        <v>39</v>
      </c>
      <c r="H254">
        <v>2023</v>
      </c>
      <c r="I254" t="s">
        <v>271</v>
      </c>
      <c r="J254"/>
      <c r="K254"/>
      <c r="L254"/>
      <c r="M254">
        <v>2023</v>
      </c>
      <c r="N254"/>
      <c r="O254" t="s">
        <v>45</v>
      </c>
      <c r="P254"/>
      <c r="Q254" t="s">
        <v>1350</v>
      </c>
      <c r="R254" t="s">
        <v>550</v>
      </c>
      <c r="S254">
        <v>0</v>
      </c>
    </row>
    <row r="255" spans="1:20" s="7" customFormat="1" x14ac:dyDescent="0.3">
      <c r="A255" t="s">
        <v>34</v>
      </c>
      <c r="B255"/>
      <c r="C255" t="s">
        <v>548</v>
      </c>
      <c r="D255" t="s">
        <v>36</v>
      </c>
      <c r="E255" t="s">
        <v>37</v>
      </c>
      <c r="F255" t="s">
        <v>38</v>
      </c>
      <c r="G255" t="s">
        <v>39</v>
      </c>
      <c r="H255">
        <v>2023</v>
      </c>
      <c r="I255" t="s">
        <v>271</v>
      </c>
      <c r="J255"/>
      <c r="K255"/>
      <c r="L255"/>
      <c r="M255">
        <v>2023</v>
      </c>
      <c r="N255"/>
      <c r="O255" t="s">
        <v>45</v>
      </c>
      <c r="P255"/>
      <c r="Q255" t="s">
        <v>1351</v>
      </c>
      <c r="R255" t="s">
        <v>551</v>
      </c>
      <c r="S255">
        <v>0</v>
      </c>
    </row>
    <row r="256" spans="1:20" s="7" customFormat="1" x14ac:dyDescent="0.3">
      <c r="A256" t="s">
        <v>34</v>
      </c>
      <c r="B256"/>
      <c r="C256" t="s">
        <v>548</v>
      </c>
      <c r="D256" t="s">
        <v>36</v>
      </c>
      <c r="E256" t="s">
        <v>37</v>
      </c>
      <c r="F256" t="s">
        <v>38</v>
      </c>
      <c r="G256" t="s">
        <v>39</v>
      </c>
      <c r="H256">
        <v>2023</v>
      </c>
      <c r="I256" t="s">
        <v>271</v>
      </c>
      <c r="J256"/>
      <c r="K256"/>
      <c r="L256"/>
      <c r="M256">
        <v>2023</v>
      </c>
      <c r="N256"/>
      <c r="O256" t="s">
        <v>45</v>
      </c>
      <c r="P256"/>
      <c r="Q256" t="s">
        <v>1352</v>
      </c>
      <c r="R256" t="s">
        <v>552</v>
      </c>
      <c r="S256">
        <v>11</v>
      </c>
    </row>
    <row r="257" spans="1:19" s="7" customFormat="1" x14ac:dyDescent="0.3">
      <c r="A257" t="s">
        <v>34</v>
      </c>
      <c r="B257"/>
      <c r="C257" t="s">
        <v>548</v>
      </c>
      <c r="D257" t="s">
        <v>36</v>
      </c>
      <c r="E257" t="s">
        <v>37</v>
      </c>
      <c r="F257" t="s">
        <v>38</v>
      </c>
      <c r="G257" t="s">
        <v>39</v>
      </c>
      <c r="H257">
        <v>2023</v>
      </c>
      <c r="I257" t="s">
        <v>271</v>
      </c>
      <c r="J257"/>
      <c r="K257"/>
      <c r="L257"/>
      <c r="M257">
        <v>2023</v>
      </c>
      <c r="N257"/>
      <c r="O257" t="s">
        <v>45</v>
      </c>
      <c r="P257"/>
      <c r="Q257" t="s">
        <v>1352</v>
      </c>
      <c r="R257" t="s">
        <v>553</v>
      </c>
      <c r="S257">
        <v>0</v>
      </c>
    </row>
    <row r="258" spans="1:19" s="7" customFormat="1" x14ac:dyDescent="0.3">
      <c r="A258" t="s">
        <v>34</v>
      </c>
      <c r="B258"/>
      <c r="C258" t="s">
        <v>548</v>
      </c>
      <c r="D258" t="s">
        <v>36</v>
      </c>
      <c r="E258" t="s">
        <v>37</v>
      </c>
      <c r="F258" t="s">
        <v>38</v>
      </c>
      <c r="G258" t="s">
        <v>39</v>
      </c>
      <c r="H258">
        <v>2023</v>
      </c>
      <c r="I258" t="s">
        <v>271</v>
      </c>
      <c r="J258"/>
      <c r="K258"/>
      <c r="L258"/>
      <c r="M258">
        <v>2023</v>
      </c>
      <c r="N258"/>
      <c r="O258" t="s">
        <v>45</v>
      </c>
      <c r="P258"/>
      <c r="Q258" t="s">
        <v>1352</v>
      </c>
      <c r="R258" t="s">
        <v>554</v>
      </c>
      <c r="S258">
        <v>12</v>
      </c>
    </row>
    <row r="259" spans="1:19" s="7" customFormat="1" x14ac:dyDescent="0.3">
      <c r="A259" t="s">
        <v>557</v>
      </c>
      <c r="B259"/>
      <c r="C259" t="s">
        <v>558</v>
      </c>
      <c r="D259" t="s">
        <v>36</v>
      </c>
      <c r="E259" t="s">
        <v>37</v>
      </c>
      <c r="F259" t="s">
        <v>38</v>
      </c>
      <c r="G259" t="s">
        <v>39</v>
      </c>
      <c r="H259">
        <v>2023</v>
      </c>
      <c r="I259" t="s">
        <v>271</v>
      </c>
      <c r="J259"/>
      <c r="K259"/>
      <c r="L259"/>
      <c r="M259">
        <v>2023</v>
      </c>
      <c r="N259"/>
      <c r="O259" t="s">
        <v>45</v>
      </c>
      <c r="P259"/>
      <c r="Q259" t="s">
        <v>1353</v>
      </c>
      <c r="R259" t="s">
        <v>559</v>
      </c>
      <c r="S259" s="7">
        <v>84339.245299999995</v>
      </c>
    </row>
    <row r="260" spans="1:19" s="7" customFormat="1" x14ac:dyDescent="0.3">
      <c r="A260" t="s">
        <v>557</v>
      </c>
      <c r="B260"/>
      <c r="C260" t="s">
        <v>558</v>
      </c>
      <c r="D260" t="s">
        <v>36</v>
      </c>
      <c r="E260" t="s">
        <v>37</v>
      </c>
      <c r="F260" t="s">
        <v>38</v>
      </c>
      <c r="G260" t="s">
        <v>39</v>
      </c>
      <c r="H260">
        <v>2023</v>
      </c>
      <c r="I260" t="s">
        <v>271</v>
      </c>
      <c r="J260"/>
      <c r="K260"/>
      <c r="L260"/>
      <c r="M260">
        <v>2023</v>
      </c>
      <c r="N260"/>
      <c r="O260" t="s">
        <v>45</v>
      </c>
      <c r="P260"/>
      <c r="Q260" t="s">
        <v>1353</v>
      </c>
      <c r="R260" t="s">
        <v>560</v>
      </c>
      <c r="S260" s="7">
        <v>77402.082599999994</v>
      </c>
    </row>
    <row r="261" spans="1:19" s="7" customFormat="1" x14ac:dyDescent="0.3">
      <c r="A261" t="s">
        <v>557</v>
      </c>
      <c r="B261"/>
      <c r="C261" t="s">
        <v>558</v>
      </c>
      <c r="D261" t="s">
        <v>36</v>
      </c>
      <c r="E261" t="s">
        <v>37</v>
      </c>
      <c r="F261" t="s">
        <v>38</v>
      </c>
      <c r="G261" t="s">
        <v>39</v>
      </c>
      <c r="H261">
        <v>2023</v>
      </c>
      <c r="I261" t="s">
        <v>271</v>
      </c>
      <c r="J261"/>
      <c r="K261"/>
      <c r="L261"/>
      <c r="M261">
        <v>2023</v>
      </c>
      <c r="N261"/>
      <c r="O261" t="s">
        <v>45</v>
      </c>
      <c r="P261"/>
      <c r="Q261" t="s">
        <v>1354</v>
      </c>
      <c r="R261" s="64" t="s">
        <v>561</v>
      </c>
      <c r="S261" s="64">
        <f>((S259-S260)/S259)*100</f>
        <v>8.2253080109077068</v>
      </c>
    </row>
    <row r="262" spans="1:19" s="7" customFormat="1" x14ac:dyDescent="0.3">
      <c r="A262" t="s">
        <v>557</v>
      </c>
      <c r="B262"/>
      <c r="C262" t="s">
        <v>558</v>
      </c>
      <c r="D262" t="s">
        <v>36</v>
      </c>
      <c r="E262" t="s">
        <v>37</v>
      </c>
      <c r="F262" t="s">
        <v>38</v>
      </c>
      <c r="G262" t="s">
        <v>39</v>
      </c>
      <c r="H262">
        <v>2023</v>
      </c>
      <c r="I262" t="s">
        <v>271</v>
      </c>
      <c r="J262"/>
      <c r="K262"/>
      <c r="L262"/>
      <c r="M262">
        <v>2023</v>
      </c>
      <c r="N262"/>
      <c r="O262" t="s">
        <v>45</v>
      </c>
      <c r="P262"/>
      <c r="Q262" t="s">
        <v>1355</v>
      </c>
      <c r="R262" t="s">
        <v>562</v>
      </c>
      <c r="S262">
        <v>19593.858499999998</v>
      </c>
    </row>
    <row r="263" spans="1:19" s="7" customFormat="1" x14ac:dyDescent="0.3">
      <c r="A263" t="s">
        <v>557</v>
      </c>
      <c r="B263"/>
      <c r="C263" t="s">
        <v>558</v>
      </c>
      <c r="D263" t="s">
        <v>36</v>
      </c>
      <c r="E263" t="s">
        <v>37</v>
      </c>
      <c r="F263" t="s">
        <v>38</v>
      </c>
      <c r="G263" t="s">
        <v>39</v>
      </c>
      <c r="H263">
        <v>2023</v>
      </c>
      <c r="I263" t="s">
        <v>271</v>
      </c>
      <c r="J263"/>
      <c r="K263"/>
      <c r="L263"/>
      <c r="M263">
        <v>2023</v>
      </c>
      <c r="N263"/>
      <c r="O263" t="s">
        <v>45</v>
      </c>
      <c r="P263"/>
      <c r="Q263" t="s">
        <v>1355</v>
      </c>
      <c r="R263" t="s">
        <v>563</v>
      </c>
      <c r="S263">
        <v>24193.562399999999</v>
      </c>
    </row>
    <row r="264" spans="1:19" s="7" customFormat="1" x14ac:dyDescent="0.3">
      <c r="A264" t="s">
        <v>557</v>
      </c>
      <c r="B264"/>
      <c r="C264" t="s">
        <v>558</v>
      </c>
      <c r="D264" t="s">
        <v>36</v>
      </c>
      <c r="E264" t="s">
        <v>37</v>
      </c>
      <c r="F264" t="s">
        <v>38</v>
      </c>
      <c r="G264" t="s">
        <v>39</v>
      </c>
      <c r="H264">
        <v>2023</v>
      </c>
      <c r="I264" t="s">
        <v>271</v>
      </c>
      <c r="J264"/>
      <c r="K264"/>
      <c r="L264"/>
      <c r="M264">
        <v>2023</v>
      </c>
      <c r="N264"/>
      <c r="O264" t="s">
        <v>45</v>
      </c>
      <c r="P264"/>
      <c r="Q264" t="s">
        <v>1356</v>
      </c>
      <c r="R264" s="64" t="s">
        <v>564</v>
      </c>
      <c r="S264" s="64">
        <f>((S262-S263)/S262)*100</f>
        <v>-23.475232813383851</v>
      </c>
    </row>
    <row r="265" spans="1:19" s="7" customFormat="1" x14ac:dyDescent="0.3">
      <c r="A265" t="s">
        <v>557</v>
      </c>
      <c r="B265"/>
      <c r="C265" t="s">
        <v>558</v>
      </c>
      <c r="D265" t="s">
        <v>36</v>
      </c>
      <c r="E265" t="s">
        <v>37</v>
      </c>
      <c r="F265" t="s">
        <v>38</v>
      </c>
      <c r="G265" t="s">
        <v>39</v>
      </c>
      <c r="H265">
        <v>2023</v>
      </c>
      <c r="I265" t="s">
        <v>271</v>
      </c>
      <c r="J265"/>
      <c r="K265"/>
      <c r="L265"/>
      <c r="M265">
        <v>2023</v>
      </c>
      <c r="N265"/>
      <c r="O265" t="s">
        <v>45</v>
      </c>
      <c r="P265"/>
      <c r="Q265" t="s">
        <v>1357</v>
      </c>
      <c r="R265" t="s">
        <v>565</v>
      </c>
      <c r="S265">
        <v>3759.0001999999999</v>
      </c>
    </row>
    <row r="266" spans="1:19" s="7" customFormat="1" x14ac:dyDescent="0.3">
      <c r="A266" t="s">
        <v>557</v>
      </c>
      <c r="B266"/>
      <c r="C266" t="s">
        <v>558</v>
      </c>
      <c r="D266" t="s">
        <v>36</v>
      </c>
      <c r="E266" t="s">
        <v>37</v>
      </c>
      <c r="F266" t="s">
        <v>38</v>
      </c>
      <c r="G266" t="s">
        <v>39</v>
      </c>
      <c r="H266">
        <v>2023</v>
      </c>
      <c r="I266" t="s">
        <v>271</v>
      </c>
      <c r="J266"/>
      <c r="K266"/>
      <c r="L266"/>
      <c r="M266">
        <v>2023</v>
      </c>
      <c r="N266"/>
      <c r="O266" t="s">
        <v>45</v>
      </c>
      <c r="P266"/>
      <c r="Q266" t="s">
        <v>1358</v>
      </c>
      <c r="R266" t="s">
        <v>566</v>
      </c>
      <c r="S266">
        <v>3479.6579000000002</v>
      </c>
    </row>
    <row r="267" spans="1:19" s="7" customFormat="1" x14ac:dyDescent="0.3">
      <c r="A267" t="s">
        <v>557</v>
      </c>
      <c r="B267"/>
      <c r="C267" t="s">
        <v>558</v>
      </c>
      <c r="D267" t="s">
        <v>36</v>
      </c>
      <c r="E267" t="s">
        <v>37</v>
      </c>
      <c r="F267" t="s">
        <v>38</v>
      </c>
      <c r="G267" t="s">
        <v>39</v>
      </c>
      <c r="H267">
        <v>2023</v>
      </c>
      <c r="I267" t="s">
        <v>271</v>
      </c>
      <c r="J267"/>
      <c r="K267"/>
      <c r="L267"/>
      <c r="M267">
        <v>2023</v>
      </c>
      <c r="N267"/>
      <c r="O267" t="s">
        <v>45</v>
      </c>
      <c r="P267"/>
      <c r="Q267" t="s">
        <v>1359</v>
      </c>
      <c r="R267" s="64" t="s">
        <v>567</v>
      </c>
      <c r="S267" s="64">
        <f>((S265-S266)/S265)*100</f>
        <v>7.4312925016604092</v>
      </c>
    </row>
    <row r="268" spans="1:19" s="7" customFormat="1" x14ac:dyDescent="0.3">
      <c r="A268" t="s">
        <v>557</v>
      </c>
      <c r="B268"/>
      <c r="C268" t="s">
        <v>558</v>
      </c>
      <c r="D268" t="s">
        <v>36</v>
      </c>
      <c r="E268" t="s">
        <v>37</v>
      </c>
      <c r="F268" t="s">
        <v>38</v>
      </c>
      <c r="G268" t="s">
        <v>39</v>
      </c>
      <c r="H268">
        <v>2023</v>
      </c>
      <c r="I268" t="s">
        <v>271</v>
      </c>
      <c r="J268"/>
      <c r="K268"/>
      <c r="L268"/>
      <c r="M268">
        <v>2023</v>
      </c>
      <c r="N268"/>
      <c r="O268" t="s">
        <v>45</v>
      </c>
      <c r="P268"/>
      <c r="Q268" t="s">
        <v>1360</v>
      </c>
      <c r="R268" t="s">
        <v>568</v>
      </c>
      <c r="S268">
        <v>7141.9210000000003</v>
      </c>
    </row>
    <row r="269" spans="1:19" s="7" customFormat="1" x14ac:dyDescent="0.3">
      <c r="A269" t="s">
        <v>557</v>
      </c>
      <c r="B269"/>
      <c r="C269" t="s">
        <v>558</v>
      </c>
      <c r="D269" t="s">
        <v>36</v>
      </c>
      <c r="E269" t="s">
        <v>37</v>
      </c>
      <c r="F269" t="s">
        <v>38</v>
      </c>
      <c r="G269" t="s">
        <v>39</v>
      </c>
      <c r="H269">
        <v>2023</v>
      </c>
      <c r="I269" t="s">
        <v>271</v>
      </c>
      <c r="J269"/>
      <c r="K269"/>
      <c r="L269"/>
      <c r="M269">
        <v>2023</v>
      </c>
      <c r="N269"/>
      <c r="O269" t="s">
        <v>45</v>
      </c>
      <c r="P269"/>
      <c r="Q269" t="s">
        <v>1360</v>
      </c>
      <c r="R269" t="s">
        <v>569</v>
      </c>
      <c r="S269">
        <v>7554.8861999999999</v>
      </c>
    </row>
    <row r="270" spans="1:19" s="7" customFormat="1" x14ac:dyDescent="0.3">
      <c r="A270" t="s">
        <v>557</v>
      </c>
      <c r="B270"/>
      <c r="C270" t="s">
        <v>558</v>
      </c>
      <c r="D270" t="s">
        <v>36</v>
      </c>
      <c r="E270" t="s">
        <v>37</v>
      </c>
      <c r="F270" t="s">
        <v>38</v>
      </c>
      <c r="G270" t="s">
        <v>39</v>
      </c>
      <c r="H270">
        <v>2023</v>
      </c>
      <c r="I270" t="s">
        <v>271</v>
      </c>
      <c r="J270"/>
      <c r="K270"/>
      <c r="L270"/>
      <c r="M270">
        <v>2023</v>
      </c>
      <c r="N270"/>
      <c r="O270" t="s">
        <v>45</v>
      </c>
      <c r="P270"/>
      <c r="Q270" t="s">
        <v>1361</v>
      </c>
      <c r="R270" s="64" t="s">
        <v>570</v>
      </c>
      <c r="S270" s="64">
        <f>((S268-S269)/S268)*100</f>
        <v>-5.7822706243880271</v>
      </c>
    </row>
    <row r="271" spans="1:19" s="7" customFormat="1" x14ac:dyDescent="0.3">
      <c r="A271" t="s">
        <v>557</v>
      </c>
      <c r="B271"/>
      <c r="C271" t="s">
        <v>558</v>
      </c>
      <c r="D271" t="s">
        <v>36</v>
      </c>
      <c r="E271" t="s">
        <v>37</v>
      </c>
      <c r="F271" t="s">
        <v>38</v>
      </c>
      <c r="G271" t="s">
        <v>39</v>
      </c>
      <c r="H271">
        <v>2023</v>
      </c>
      <c r="I271" t="s">
        <v>271</v>
      </c>
      <c r="J271"/>
      <c r="K271"/>
      <c r="L271"/>
      <c r="M271">
        <v>2023</v>
      </c>
      <c r="N271"/>
      <c r="O271" t="s">
        <v>45</v>
      </c>
      <c r="P271"/>
      <c r="Q271" t="s">
        <v>1362</v>
      </c>
      <c r="R271" t="s">
        <v>571</v>
      </c>
      <c r="S271">
        <v>399.75369999999998</v>
      </c>
    </row>
    <row r="272" spans="1:19" s="7" customFormat="1" x14ac:dyDescent="0.3">
      <c r="A272" t="s">
        <v>557</v>
      </c>
      <c r="B272"/>
      <c r="C272" t="s">
        <v>558</v>
      </c>
      <c r="D272" t="s">
        <v>36</v>
      </c>
      <c r="E272" t="s">
        <v>37</v>
      </c>
      <c r="F272" t="s">
        <v>38</v>
      </c>
      <c r="G272" t="s">
        <v>39</v>
      </c>
      <c r="H272">
        <v>2023</v>
      </c>
      <c r="I272" t="s">
        <v>271</v>
      </c>
      <c r="J272"/>
      <c r="K272"/>
      <c r="L272"/>
      <c r="M272">
        <v>2023</v>
      </c>
      <c r="N272"/>
      <c r="O272" t="s">
        <v>45</v>
      </c>
      <c r="P272"/>
      <c r="Q272" t="s">
        <v>1363</v>
      </c>
      <c r="R272" t="s">
        <v>572</v>
      </c>
      <c r="S272">
        <v>318.61</v>
      </c>
    </row>
    <row r="273" spans="1:19" s="7" customFormat="1" x14ac:dyDescent="0.3">
      <c r="A273" t="s">
        <v>557</v>
      </c>
      <c r="B273"/>
      <c r="C273" t="s">
        <v>558</v>
      </c>
      <c r="D273" t="s">
        <v>36</v>
      </c>
      <c r="E273" t="s">
        <v>37</v>
      </c>
      <c r="F273" t="s">
        <v>38</v>
      </c>
      <c r="G273" t="s">
        <v>39</v>
      </c>
      <c r="H273">
        <v>2023</v>
      </c>
      <c r="I273" t="s">
        <v>271</v>
      </c>
      <c r="J273"/>
      <c r="K273"/>
      <c r="L273"/>
      <c r="M273">
        <v>2023</v>
      </c>
      <c r="N273"/>
      <c r="O273" t="s">
        <v>45</v>
      </c>
      <c r="P273"/>
      <c r="Q273" t="s">
        <v>1364</v>
      </c>
      <c r="R273" s="64" t="s">
        <v>573</v>
      </c>
      <c r="S273" s="64">
        <f>((S271-S272)/S271)*100</f>
        <v>20.298423754426782</v>
      </c>
    </row>
    <row r="274" spans="1:19" s="7" customFormat="1" x14ac:dyDescent="0.3">
      <c r="A274" t="s">
        <v>557</v>
      </c>
      <c r="B274"/>
      <c r="C274" t="s">
        <v>558</v>
      </c>
      <c r="D274" t="s">
        <v>36</v>
      </c>
      <c r="E274" t="s">
        <v>37</v>
      </c>
      <c r="F274" t="s">
        <v>38</v>
      </c>
      <c r="G274" t="s">
        <v>39</v>
      </c>
      <c r="H274">
        <v>2023</v>
      </c>
      <c r="I274" t="s">
        <v>271</v>
      </c>
      <c r="J274"/>
      <c r="K274"/>
      <c r="L274"/>
      <c r="M274">
        <v>2023</v>
      </c>
      <c r="N274"/>
      <c r="O274" t="s">
        <v>45</v>
      </c>
      <c r="P274"/>
      <c r="Q274"/>
      <c r="R274" t="s">
        <v>574</v>
      </c>
      <c r="S274">
        <v>3303.3543</v>
      </c>
    </row>
    <row r="275" spans="1:19" s="7" customFormat="1" x14ac:dyDescent="0.3">
      <c r="A275" t="s">
        <v>557</v>
      </c>
      <c r="B275"/>
      <c r="C275" t="s">
        <v>558</v>
      </c>
      <c r="D275" t="s">
        <v>36</v>
      </c>
      <c r="E275" t="s">
        <v>37</v>
      </c>
      <c r="F275" t="s">
        <v>38</v>
      </c>
      <c r="G275" t="s">
        <v>39</v>
      </c>
      <c r="H275">
        <v>2023</v>
      </c>
      <c r="I275" t="s">
        <v>271</v>
      </c>
      <c r="J275"/>
      <c r="K275"/>
      <c r="L275"/>
      <c r="M275">
        <v>2023</v>
      </c>
      <c r="N275"/>
      <c r="O275" t="s">
        <v>45</v>
      </c>
      <c r="P275"/>
      <c r="Q275"/>
      <c r="R275" t="s">
        <v>575</v>
      </c>
      <c r="S275">
        <v>90.420299999999997</v>
      </c>
    </row>
    <row r="276" spans="1:19" s="7" customFormat="1" x14ac:dyDescent="0.3">
      <c r="A276" t="s">
        <v>557</v>
      </c>
      <c r="B276"/>
      <c r="C276" t="s">
        <v>558</v>
      </c>
      <c r="D276" t="s">
        <v>36</v>
      </c>
      <c r="E276" t="s">
        <v>37</v>
      </c>
      <c r="F276" t="s">
        <v>38</v>
      </c>
      <c r="G276" t="s">
        <v>39</v>
      </c>
      <c r="H276">
        <v>2023</v>
      </c>
      <c r="I276" t="s">
        <v>271</v>
      </c>
      <c r="J276"/>
      <c r="K276"/>
      <c r="L276"/>
      <c r="M276">
        <v>2023</v>
      </c>
      <c r="N276"/>
      <c r="O276" t="s">
        <v>45</v>
      </c>
      <c r="P276"/>
      <c r="Q276" t="s">
        <v>1365</v>
      </c>
      <c r="R276" s="64" t="s">
        <v>576</v>
      </c>
      <c r="S276" s="64">
        <f>((S274-S275)/S274)*100</f>
        <v>97.262773175738388</v>
      </c>
    </row>
    <row r="277" spans="1:19" s="7" customFormat="1" x14ac:dyDescent="0.3">
      <c r="A277" t="s">
        <v>557</v>
      </c>
      <c r="B277"/>
      <c r="C277" t="s">
        <v>558</v>
      </c>
      <c r="D277" t="s">
        <v>36</v>
      </c>
      <c r="E277" t="s">
        <v>37</v>
      </c>
      <c r="F277" t="s">
        <v>38</v>
      </c>
      <c r="G277" t="s">
        <v>39</v>
      </c>
      <c r="H277">
        <v>2023</v>
      </c>
      <c r="I277" t="s">
        <v>271</v>
      </c>
      <c r="J277"/>
      <c r="K277"/>
      <c r="L277"/>
      <c r="M277">
        <v>2023</v>
      </c>
      <c r="N277"/>
      <c r="O277" t="s">
        <v>45</v>
      </c>
      <c r="P277"/>
      <c r="Q277" t="s">
        <v>1366</v>
      </c>
      <c r="R277" t="s">
        <v>577</v>
      </c>
      <c r="S277">
        <v>2323.3616000000002</v>
      </c>
    </row>
    <row r="278" spans="1:19" s="7" customFormat="1" x14ac:dyDescent="0.3">
      <c r="A278" t="s">
        <v>557</v>
      </c>
      <c r="B278"/>
      <c r="C278" t="s">
        <v>558</v>
      </c>
      <c r="D278" t="s">
        <v>36</v>
      </c>
      <c r="E278" t="s">
        <v>37</v>
      </c>
      <c r="F278" t="s">
        <v>38</v>
      </c>
      <c r="G278" t="s">
        <v>39</v>
      </c>
      <c r="H278">
        <v>2023</v>
      </c>
      <c r="I278" t="s">
        <v>271</v>
      </c>
      <c r="J278"/>
      <c r="K278"/>
      <c r="L278"/>
      <c r="M278">
        <v>2023</v>
      </c>
      <c r="N278"/>
      <c r="O278" t="s">
        <v>45</v>
      </c>
      <c r="P278"/>
      <c r="Q278" t="s">
        <v>1367</v>
      </c>
      <c r="R278" t="s">
        <v>578</v>
      </c>
      <c r="S278">
        <v>3621.0990999999999</v>
      </c>
    </row>
    <row r="279" spans="1:19" s="7" customFormat="1" x14ac:dyDescent="0.3">
      <c r="A279" t="s">
        <v>557</v>
      </c>
      <c r="B279"/>
      <c r="C279" t="s">
        <v>558</v>
      </c>
      <c r="D279" t="s">
        <v>36</v>
      </c>
      <c r="E279" t="s">
        <v>37</v>
      </c>
      <c r="F279" t="s">
        <v>38</v>
      </c>
      <c r="G279" t="s">
        <v>39</v>
      </c>
      <c r="H279">
        <v>2023</v>
      </c>
      <c r="I279" t="s">
        <v>271</v>
      </c>
      <c r="J279"/>
      <c r="K279"/>
      <c r="L279"/>
      <c r="M279">
        <v>2023</v>
      </c>
      <c r="N279"/>
      <c r="O279" t="s">
        <v>45</v>
      </c>
      <c r="P279"/>
      <c r="Q279" t="s">
        <v>1368</v>
      </c>
      <c r="R279" s="64" t="s">
        <v>579</v>
      </c>
      <c r="S279" s="64">
        <f>((S277-S278)/S277)*100</f>
        <v>-55.856027748758507</v>
      </c>
    </row>
    <row r="280" spans="1:19" s="7" customFormat="1" x14ac:dyDescent="0.3">
      <c r="A280" t="s">
        <v>557</v>
      </c>
      <c r="B280"/>
      <c r="C280" t="s">
        <v>558</v>
      </c>
      <c r="D280" t="s">
        <v>36</v>
      </c>
      <c r="E280" t="s">
        <v>37</v>
      </c>
      <c r="F280" t="s">
        <v>38</v>
      </c>
      <c r="G280" t="s">
        <v>39</v>
      </c>
      <c r="H280">
        <v>2023</v>
      </c>
      <c r="I280" t="s">
        <v>271</v>
      </c>
      <c r="J280"/>
      <c r="K280"/>
      <c r="L280"/>
      <c r="M280">
        <v>2023</v>
      </c>
      <c r="N280"/>
      <c r="O280" t="s">
        <v>45</v>
      </c>
      <c r="P280"/>
      <c r="Q280"/>
      <c r="R280" t="s">
        <v>580</v>
      </c>
      <c r="S280">
        <v>46.205300000000001</v>
      </c>
    </row>
    <row r="281" spans="1:19" s="7" customFormat="1" x14ac:dyDescent="0.3">
      <c r="A281" t="s">
        <v>557</v>
      </c>
      <c r="B281"/>
      <c r="C281" t="s">
        <v>558</v>
      </c>
      <c r="D281" t="s">
        <v>36</v>
      </c>
      <c r="E281" t="s">
        <v>37</v>
      </c>
      <c r="F281" t="s">
        <v>38</v>
      </c>
      <c r="G281" t="s">
        <v>39</v>
      </c>
      <c r="H281">
        <v>2023</v>
      </c>
      <c r="I281" t="s">
        <v>271</v>
      </c>
      <c r="J281"/>
      <c r="K281"/>
      <c r="L281"/>
      <c r="M281">
        <v>2023</v>
      </c>
      <c r="N281"/>
      <c r="O281" t="s">
        <v>45</v>
      </c>
      <c r="P281"/>
      <c r="Q281"/>
      <c r="R281" t="s">
        <v>581</v>
      </c>
      <c r="S281">
        <v>2448.5704000000001</v>
      </c>
    </row>
    <row r="282" spans="1:19" s="7" customFormat="1" x14ac:dyDescent="0.3">
      <c r="A282" t="s">
        <v>557</v>
      </c>
      <c r="B282"/>
      <c r="C282" t="s">
        <v>558</v>
      </c>
      <c r="D282" t="s">
        <v>36</v>
      </c>
      <c r="E282" t="s">
        <v>37</v>
      </c>
      <c r="F282" t="s">
        <v>38</v>
      </c>
      <c r="G282" t="s">
        <v>39</v>
      </c>
      <c r="H282">
        <v>2023</v>
      </c>
      <c r="I282" t="s">
        <v>271</v>
      </c>
      <c r="J282"/>
      <c r="K282"/>
      <c r="L282"/>
      <c r="M282">
        <v>2023</v>
      </c>
      <c r="N282"/>
      <c r="O282" t="s">
        <v>45</v>
      </c>
      <c r="P282"/>
      <c r="Q282" t="s">
        <v>1369</v>
      </c>
      <c r="R282" s="64" t="s">
        <v>582</v>
      </c>
      <c r="S282" s="64">
        <f>((S280-S281)/S280)*100</f>
        <v>-5199.327999168926</v>
      </c>
    </row>
    <row r="283" spans="1:19" s="7" customFormat="1" x14ac:dyDescent="0.3">
      <c r="A283" t="s">
        <v>557</v>
      </c>
      <c r="B283"/>
      <c r="C283" t="s">
        <v>558</v>
      </c>
      <c r="D283" t="s">
        <v>36</v>
      </c>
      <c r="E283" t="s">
        <v>37</v>
      </c>
      <c r="F283" t="s">
        <v>38</v>
      </c>
      <c r="G283" t="s">
        <v>39</v>
      </c>
      <c r="H283">
        <v>2023</v>
      </c>
      <c r="I283" t="s">
        <v>271</v>
      </c>
      <c r="J283"/>
      <c r="K283"/>
      <c r="L283"/>
      <c r="M283">
        <v>2023</v>
      </c>
      <c r="N283"/>
      <c r="O283" t="s">
        <v>45</v>
      </c>
      <c r="P283"/>
      <c r="Q283" t="s">
        <v>1370</v>
      </c>
      <c r="R283" t="s">
        <v>583</v>
      </c>
      <c r="S283">
        <v>212.06479999999999</v>
      </c>
    </row>
    <row r="284" spans="1:19" s="7" customFormat="1" x14ac:dyDescent="0.3">
      <c r="A284" t="s">
        <v>557</v>
      </c>
      <c r="B284"/>
      <c r="C284" t="s">
        <v>558</v>
      </c>
      <c r="D284" t="s">
        <v>36</v>
      </c>
      <c r="E284" t="s">
        <v>37</v>
      </c>
      <c r="F284" t="s">
        <v>38</v>
      </c>
      <c r="G284" t="s">
        <v>39</v>
      </c>
      <c r="H284">
        <v>2023</v>
      </c>
      <c r="I284" t="s">
        <v>271</v>
      </c>
      <c r="J284"/>
      <c r="K284"/>
      <c r="L284"/>
      <c r="M284">
        <v>2023</v>
      </c>
      <c r="N284"/>
      <c r="O284" t="s">
        <v>45</v>
      </c>
      <c r="P284"/>
      <c r="Q284" t="s">
        <v>1371</v>
      </c>
      <c r="R284" t="s">
        <v>584</v>
      </c>
      <c r="S284">
        <v>31.911999999999999</v>
      </c>
    </row>
    <row r="285" spans="1:19" s="7" customFormat="1" x14ac:dyDescent="0.3">
      <c r="A285" t="s">
        <v>557</v>
      </c>
      <c r="B285"/>
      <c r="C285" t="s">
        <v>558</v>
      </c>
      <c r="D285" t="s">
        <v>36</v>
      </c>
      <c r="E285" t="s">
        <v>37</v>
      </c>
      <c r="F285" t="s">
        <v>38</v>
      </c>
      <c r="G285" t="s">
        <v>39</v>
      </c>
      <c r="H285">
        <v>2023</v>
      </c>
      <c r="I285" t="s">
        <v>271</v>
      </c>
      <c r="J285"/>
      <c r="K285"/>
      <c r="L285"/>
      <c r="M285">
        <v>2023</v>
      </c>
      <c r="N285"/>
      <c r="O285" t="s">
        <v>45</v>
      </c>
      <c r="P285"/>
      <c r="Q285" t="s">
        <v>1372</v>
      </c>
      <c r="R285" s="64" t="s">
        <v>585</v>
      </c>
      <c r="S285" s="64">
        <f>((S283-S284)/S283)*100</f>
        <v>84.951769459146448</v>
      </c>
    </row>
    <row r="286" spans="1:19" s="7" customFormat="1" x14ac:dyDescent="0.3">
      <c r="A286" t="s">
        <v>557</v>
      </c>
      <c r="B286"/>
      <c r="C286" t="s">
        <v>558</v>
      </c>
      <c r="D286" t="s">
        <v>36</v>
      </c>
      <c r="E286" t="s">
        <v>37</v>
      </c>
      <c r="F286" t="s">
        <v>38</v>
      </c>
      <c r="G286" t="s">
        <v>39</v>
      </c>
      <c r="H286">
        <v>2023</v>
      </c>
      <c r="I286" t="s">
        <v>271</v>
      </c>
      <c r="J286"/>
      <c r="K286"/>
      <c r="L286"/>
      <c r="M286">
        <v>2023</v>
      </c>
      <c r="N286"/>
      <c r="O286" t="s">
        <v>45</v>
      </c>
      <c r="P286"/>
      <c r="Q286" t="s">
        <v>1373</v>
      </c>
      <c r="R286" t="s">
        <v>587</v>
      </c>
      <c r="S286">
        <v>222.57220000000001</v>
      </c>
    </row>
    <row r="287" spans="1:19" s="7" customFormat="1" x14ac:dyDescent="0.3">
      <c r="A287" t="s">
        <v>557</v>
      </c>
      <c r="B287"/>
      <c r="C287" t="s">
        <v>558</v>
      </c>
      <c r="D287" t="s">
        <v>36</v>
      </c>
      <c r="E287" t="s">
        <v>37</v>
      </c>
      <c r="F287" t="s">
        <v>38</v>
      </c>
      <c r="G287" t="s">
        <v>39</v>
      </c>
      <c r="H287">
        <v>2023</v>
      </c>
      <c r="I287" t="s">
        <v>271</v>
      </c>
      <c r="J287"/>
      <c r="K287"/>
      <c r="L287"/>
      <c r="M287">
        <v>2023</v>
      </c>
      <c r="N287"/>
      <c r="O287" t="s">
        <v>45</v>
      </c>
      <c r="P287"/>
      <c r="Q287" t="s">
        <v>1373</v>
      </c>
      <c r="R287" t="s">
        <v>586</v>
      </c>
      <c r="S287">
        <v>201.07759999999999</v>
      </c>
    </row>
    <row r="288" spans="1:19" s="7" customFormat="1" x14ac:dyDescent="0.3">
      <c r="A288" t="s">
        <v>557</v>
      </c>
      <c r="B288"/>
      <c r="C288" t="s">
        <v>558</v>
      </c>
      <c r="D288" t="s">
        <v>36</v>
      </c>
      <c r="E288" t="s">
        <v>37</v>
      </c>
      <c r="F288" t="s">
        <v>38</v>
      </c>
      <c r="G288" t="s">
        <v>39</v>
      </c>
      <c r="H288">
        <v>2023</v>
      </c>
      <c r="I288" t="s">
        <v>271</v>
      </c>
      <c r="J288"/>
      <c r="K288"/>
      <c r="L288"/>
      <c r="M288">
        <v>2023</v>
      </c>
      <c r="N288"/>
      <c r="O288" t="s">
        <v>45</v>
      </c>
      <c r="P288"/>
      <c r="Q288" t="s">
        <v>1374</v>
      </c>
      <c r="R288" s="64" t="s">
        <v>588</v>
      </c>
      <c r="S288" s="64">
        <f>((S286-S287)/S286)*100</f>
        <v>9.6573606227552311</v>
      </c>
    </row>
    <row r="289" spans="1:19" s="7" customFormat="1" x14ac:dyDescent="0.3">
      <c r="A289" t="s">
        <v>557</v>
      </c>
      <c r="B289"/>
      <c r="C289" t="s">
        <v>558</v>
      </c>
      <c r="D289" t="s">
        <v>36</v>
      </c>
      <c r="E289" t="s">
        <v>37</v>
      </c>
      <c r="F289" t="s">
        <v>38</v>
      </c>
      <c r="G289" t="s">
        <v>39</v>
      </c>
      <c r="H289">
        <v>2023</v>
      </c>
      <c r="I289" t="s">
        <v>271</v>
      </c>
      <c r="J289"/>
      <c r="K289"/>
      <c r="L289"/>
      <c r="M289">
        <v>2023</v>
      </c>
      <c r="N289"/>
      <c r="O289" t="s">
        <v>45</v>
      </c>
      <c r="P289"/>
      <c r="Q289" t="s">
        <v>1375</v>
      </c>
      <c r="R289" t="s">
        <v>589</v>
      </c>
      <c r="S289">
        <f>S259+S262+S265+S268+S271+S274+S277+S280+S283+S286</f>
        <v>121341.33689999999</v>
      </c>
    </row>
    <row r="290" spans="1:19" s="7" customFormat="1" x14ac:dyDescent="0.3">
      <c r="A290" t="s">
        <v>557</v>
      </c>
      <c r="B290"/>
      <c r="C290" t="s">
        <v>558</v>
      </c>
      <c r="D290" t="s">
        <v>36</v>
      </c>
      <c r="E290" t="s">
        <v>37</v>
      </c>
      <c r="F290" t="s">
        <v>38</v>
      </c>
      <c r="G290" t="s">
        <v>39</v>
      </c>
      <c r="H290">
        <v>2023</v>
      </c>
      <c r="I290" t="s">
        <v>271</v>
      </c>
      <c r="J290"/>
      <c r="K290"/>
      <c r="L290"/>
      <c r="M290">
        <v>2023</v>
      </c>
      <c r="N290"/>
      <c r="O290" t="s">
        <v>45</v>
      </c>
      <c r="P290"/>
      <c r="Q290" t="s">
        <v>1376</v>
      </c>
      <c r="R290" t="s">
        <v>590</v>
      </c>
      <c r="S290">
        <f>S260+S263+S266+S269+S272+S275+S278+S281+S284+S287</f>
        <v>119341.87849999999</v>
      </c>
    </row>
    <row r="291" spans="1:19" s="7" customFormat="1" x14ac:dyDescent="0.3">
      <c r="A291" t="s">
        <v>557</v>
      </c>
      <c r="B291"/>
      <c r="C291" t="s">
        <v>558</v>
      </c>
      <c r="D291" t="s">
        <v>36</v>
      </c>
      <c r="E291" t="s">
        <v>37</v>
      </c>
      <c r="F291" t="s">
        <v>38</v>
      </c>
      <c r="G291" t="s">
        <v>39</v>
      </c>
      <c r="H291">
        <v>2023</v>
      </c>
      <c r="I291" t="s">
        <v>271</v>
      </c>
      <c r="J291"/>
      <c r="K291"/>
      <c r="L291"/>
      <c r="M291">
        <v>2023</v>
      </c>
      <c r="N291"/>
      <c r="O291" t="s">
        <v>45</v>
      </c>
      <c r="P291"/>
      <c r="Q291" t="s">
        <v>1377</v>
      </c>
      <c r="R291" s="64" t="s">
        <v>591</v>
      </c>
      <c r="S291" s="64">
        <f>((S289-S290)/S289)*100</f>
        <v>1.6477965803589258</v>
      </c>
    </row>
    <row r="292" spans="1:19" s="7" customFormat="1" x14ac:dyDescent="0.3">
      <c r="A292" t="s">
        <v>557</v>
      </c>
      <c r="B292"/>
      <c r="C292" t="s">
        <v>558</v>
      </c>
      <c r="D292" t="s">
        <v>36</v>
      </c>
      <c r="E292" t="s">
        <v>37</v>
      </c>
      <c r="F292" t="s">
        <v>38</v>
      </c>
      <c r="G292" t="s">
        <v>39</v>
      </c>
      <c r="H292">
        <v>2023</v>
      </c>
      <c r="I292" t="s">
        <v>271</v>
      </c>
      <c r="J292"/>
      <c r="K292"/>
      <c r="L292"/>
      <c r="M292">
        <v>2023</v>
      </c>
      <c r="N292"/>
      <c r="O292" t="s">
        <v>45</v>
      </c>
      <c r="P292"/>
      <c r="Q292" t="s">
        <v>1378</v>
      </c>
      <c r="R292" t="s">
        <v>592</v>
      </c>
      <c r="S292">
        <v>5.44</v>
      </c>
    </row>
    <row r="293" spans="1:19" s="7" customFormat="1" x14ac:dyDescent="0.3">
      <c r="A293" t="s">
        <v>557</v>
      </c>
      <c r="B293"/>
      <c r="C293" t="s">
        <v>558</v>
      </c>
      <c r="D293" t="s">
        <v>36</v>
      </c>
      <c r="E293" t="s">
        <v>37</v>
      </c>
      <c r="F293" t="s">
        <v>38</v>
      </c>
      <c r="G293" t="s">
        <v>39</v>
      </c>
      <c r="H293">
        <v>2023</v>
      </c>
      <c r="I293" t="s">
        <v>271</v>
      </c>
      <c r="J293"/>
      <c r="K293"/>
      <c r="L293"/>
      <c r="M293">
        <v>2023</v>
      </c>
      <c r="N293"/>
      <c r="O293" t="s">
        <v>45</v>
      </c>
      <c r="P293"/>
      <c r="Q293" t="s">
        <v>1378</v>
      </c>
      <c r="R293" t="s">
        <v>593</v>
      </c>
      <c r="S293">
        <v>0.75</v>
      </c>
    </row>
    <row r="294" spans="1:19" s="7" customFormat="1" x14ac:dyDescent="0.3">
      <c r="A294" t="s">
        <v>557</v>
      </c>
      <c r="B294"/>
      <c r="C294" t="s">
        <v>558</v>
      </c>
      <c r="D294" t="s">
        <v>36</v>
      </c>
      <c r="E294" t="s">
        <v>37</v>
      </c>
      <c r="F294" t="s">
        <v>38</v>
      </c>
      <c r="G294" t="s">
        <v>39</v>
      </c>
      <c r="H294">
        <v>2023</v>
      </c>
      <c r="I294" t="s">
        <v>271</v>
      </c>
      <c r="J294"/>
      <c r="K294"/>
      <c r="L294"/>
      <c r="M294">
        <v>2023</v>
      </c>
      <c r="N294"/>
      <c r="O294" t="s">
        <v>45</v>
      </c>
      <c r="P294"/>
      <c r="Q294" t="s">
        <v>1379</v>
      </c>
      <c r="R294" t="s">
        <v>594</v>
      </c>
      <c r="S294">
        <v>2.83</v>
      </c>
    </row>
    <row r="295" spans="1:19" s="7" customFormat="1" x14ac:dyDescent="0.3">
      <c r="A295" t="s">
        <v>557</v>
      </c>
      <c r="B295"/>
      <c r="C295" t="s">
        <v>558</v>
      </c>
      <c r="D295" t="s">
        <v>36</v>
      </c>
      <c r="E295" t="s">
        <v>37</v>
      </c>
      <c r="F295" t="s">
        <v>38</v>
      </c>
      <c r="G295" t="s">
        <v>39</v>
      </c>
      <c r="H295">
        <v>2023</v>
      </c>
      <c r="I295" t="s">
        <v>271</v>
      </c>
      <c r="J295"/>
      <c r="K295"/>
      <c r="L295"/>
      <c r="M295">
        <v>2023</v>
      </c>
      <c r="N295"/>
      <c r="O295" t="s">
        <v>45</v>
      </c>
      <c r="P295"/>
      <c r="Q295" t="s">
        <v>1380</v>
      </c>
      <c r="R295" t="s">
        <v>595</v>
      </c>
      <c r="S295">
        <v>0.63</v>
      </c>
    </row>
    <row r="296" spans="1:19" s="7" customFormat="1" x14ac:dyDescent="0.3">
      <c r="A296" t="s">
        <v>557</v>
      </c>
      <c r="B296"/>
      <c r="C296" t="s">
        <v>558</v>
      </c>
      <c r="D296" t="s">
        <v>36</v>
      </c>
      <c r="E296" t="s">
        <v>37</v>
      </c>
      <c r="F296" t="s">
        <v>38</v>
      </c>
      <c r="G296" t="s">
        <v>39</v>
      </c>
      <c r="H296">
        <v>2023</v>
      </c>
      <c r="I296" t="s">
        <v>271</v>
      </c>
      <c r="J296"/>
      <c r="K296"/>
      <c r="L296"/>
      <c r="M296">
        <v>2023</v>
      </c>
      <c r="N296"/>
      <c r="O296" t="s">
        <v>45</v>
      </c>
      <c r="P296"/>
      <c r="Q296" t="s">
        <v>1381</v>
      </c>
      <c r="R296" t="s">
        <v>596</v>
      </c>
      <c r="S296">
        <v>10.25</v>
      </c>
    </row>
    <row r="297" spans="1:19" s="7" customFormat="1" x14ac:dyDescent="0.3">
      <c r="A297" t="s">
        <v>557</v>
      </c>
      <c r="B297"/>
      <c r="C297" t="s">
        <v>558</v>
      </c>
      <c r="D297" t="s">
        <v>36</v>
      </c>
      <c r="E297" t="s">
        <v>37</v>
      </c>
      <c r="F297" t="s">
        <v>38</v>
      </c>
      <c r="G297" t="s">
        <v>39</v>
      </c>
      <c r="H297">
        <v>2023</v>
      </c>
      <c r="I297" t="s">
        <v>271</v>
      </c>
      <c r="J297"/>
      <c r="K297"/>
      <c r="L297"/>
      <c r="M297">
        <v>2023</v>
      </c>
      <c r="N297"/>
      <c r="O297" t="s">
        <v>45</v>
      </c>
      <c r="P297"/>
      <c r="Q297" t="s">
        <v>1382</v>
      </c>
      <c r="R297" t="s">
        <v>597</v>
      </c>
      <c r="S297">
        <v>0.02</v>
      </c>
    </row>
    <row r="298" spans="1:19" s="7" customFormat="1" x14ac:dyDescent="0.3">
      <c r="A298" t="s">
        <v>557</v>
      </c>
      <c r="B298"/>
      <c r="C298" t="s">
        <v>558</v>
      </c>
      <c r="D298" t="s">
        <v>36</v>
      </c>
      <c r="E298" t="s">
        <v>37</v>
      </c>
      <c r="F298" t="s">
        <v>38</v>
      </c>
      <c r="G298" t="s">
        <v>39</v>
      </c>
      <c r="H298">
        <v>2023</v>
      </c>
      <c r="I298" t="s">
        <v>271</v>
      </c>
      <c r="J298"/>
      <c r="K298"/>
      <c r="L298"/>
      <c r="M298">
        <v>2023</v>
      </c>
      <c r="N298"/>
      <c r="O298" t="s">
        <v>45</v>
      </c>
      <c r="P298"/>
      <c r="Q298" t="s">
        <v>1383</v>
      </c>
      <c r="R298" t="s">
        <v>598</v>
      </c>
      <c r="S298">
        <v>10.130000000000001</v>
      </c>
    </row>
    <row r="299" spans="1:19" s="7" customFormat="1" x14ac:dyDescent="0.3">
      <c r="A299" t="s">
        <v>557</v>
      </c>
      <c r="B299"/>
      <c r="C299" t="s">
        <v>558</v>
      </c>
      <c r="D299" t="s">
        <v>36</v>
      </c>
      <c r="E299" t="s">
        <v>37</v>
      </c>
      <c r="F299" t="s">
        <v>38</v>
      </c>
      <c r="G299" t="s">
        <v>39</v>
      </c>
      <c r="H299">
        <v>2023</v>
      </c>
      <c r="I299" t="s">
        <v>271</v>
      </c>
      <c r="J299"/>
      <c r="K299"/>
      <c r="L299"/>
      <c r="M299">
        <v>2023</v>
      </c>
      <c r="N299"/>
      <c r="O299" t="s">
        <v>45</v>
      </c>
      <c r="P299"/>
      <c r="Q299" t="s">
        <v>1384</v>
      </c>
      <c r="R299" t="s">
        <v>599</v>
      </c>
      <c r="S299">
        <v>0.15</v>
      </c>
    </row>
    <row r="300" spans="1:19" s="7" customFormat="1" x14ac:dyDescent="0.3">
      <c r="A300" t="s">
        <v>557</v>
      </c>
      <c r="B300"/>
      <c r="C300" t="s">
        <v>558</v>
      </c>
      <c r="D300" t="s">
        <v>36</v>
      </c>
      <c r="E300" t="s">
        <v>37</v>
      </c>
      <c r="F300" t="s">
        <v>38</v>
      </c>
      <c r="G300" t="s">
        <v>39</v>
      </c>
      <c r="H300">
        <v>2023</v>
      </c>
      <c r="I300" t="s">
        <v>271</v>
      </c>
      <c r="J300" s="64"/>
      <c r="K300" s="64"/>
      <c r="L300" s="64"/>
      <c r="M300">
        <v>2023</v>
      </c>
      <c r="N300" s="64"/>
      <c r="O300" t="s">
        <v>45</v>
      </c>
      <c r="P300"/>
      <c r="Q300" s="64"/>
      <c r="R300" s="64" t="s">
        <v>600</v>
      </c>
      <c r="S300" s="65">
        <f>SUM(S292:S299)</f>
        <v>30.199999999999996</v>
      </c>
    </row>
    <row r="301" spans="1:19" s="7" customFormat="1" x14ac:dyDescent="0.3">
      <c r="A301" t="s">
        <v>557</v>
      </c>
      <c r="B301"/>
      <c r="C301" t="s">
        <v>558</v>
      </c>
      <c r="D301" t="s">
        <v>36</v>
      </c>
      <c r="E301" t="s">
        <v>37</v>
      </c>
      <c r="F301" t="s">
        <v>38</v>
      </c>
      <c r="G301" t="s">
        <v>39</v>
      </c>
      <c r="H301">
        <v>2023</v>
      </c>
      <c r="I301" t="s">
        <v>271</v>
      </c>
      <c r="J301"/>
      <c r="K301"/>
      <c r="L301"/>
      <c r="M301">
        <v>2023</v>
      </c>
      <c r="N301"/>
      <c r="O301" t="s">
        <v>45</v>
      </c>
      <c r="P301"/>
      <c r="Q301" t="s">
        <v>1385</v>
      </c>
      <c r="R301" t="s">
        <v>601</v>
      </c>
      <c r="S301">
        <v>6.34</v>
      </c>
    </row>
    <row r="302" spans="1:19" s="7" customFormat="1" x14ac:dyDescent="0.3">
      <c r="A302" t="s">
        <v>557</v>
      </c>
      <c r="B302"/>
      <c r="C302" t="s">
        <v>558</v>
      </c>
      <c r="D302" t="s">
        <v>36</v>
      </c>
      <c r="E302" t="s">
        <v>37</v>
      </c>
      <c r="F302" t="s">
        <v>38</v>
      </c>
      <c r="G302" t="s">
        <v>39</v>
      </c>
      <c r="H302">
        <v>2023</v>
      </c>
      <c r="I302" t="s">
        <v>271</v>
      </c>
      <c r="J302"/>
      <c r="K302"/>
      <c r="L302"/>
      <c r="M302">
        <v>2023</v>
      </c>
      <c r="N302"/>
      <c r="O302" t="s">
        <v>45</v>
      </c>
      <c r="P302"/>
      <c r="Q302" t="s">
        <v>1385</v>
      </c>
      <c r="R302" t="s">
        <v>602</v>
      </c>
      <c r="S302">
        <v>0.65</v>
      </c>
    </row>
    <row r="303" spans="1:19" s="7" customFormat="1" x14ac:dyDescent="0.3">
      <c r="A303" t="s">
        <v>557</v>
      </c>
      <c r="B303"/>
      <c r="C303" t="s">
        <v>558</v>
      </c>
      <c r="D303" t="s">
        <v>36</v>
      </c>
      <c r="E303" t="s">
        <v>37</v>
      </c>
      <c r="F303" t="s">
        <v>38</v>
      </c>
      <c r="G303" t="s">
        <v>39</v>
      </c>
      <c r="H303">
        <v>2023</v>
      </c>
      <c r="I303" t="s">
        <v>271</v>
      </c>
      <c r="J303"/>
      <c r="K303"/>
      <c r="L303"/>
      <c r="M303">
        <v>2023</v>
      </c>
      <c r="N303"/>
      <c r="O303" t="s">
        <v>45</v>
      </c>
      <c r="P303"/>
      <c r="Q303" t="s">
        <v>1386</v>
      </c>
      <c r="R303" t="s">
        <v>603</v>
      </c>
      <c r="S303">
        <v>2.88</v>
      </c>
    </row>
    <row r="304" spans="1:19" s="7" customFormat="1" x14ac:dyDescent="0.3">
      <c r="A304" t="s">
        <v>557</v>
      </c>
      <c r="B304"/>
      <c r="C304" t="s">
        <v>558</v>
      </c>
      <c r="D304" t="s">
        <v>36</v>
      </c>
      <c r="E304" t="s">
        <v>37</v>
      </c>
      <c r="F304" t="s">
        <v>38</v>
      </c>
      <c r="G304" t="s">
        <v>39</v>
      </c>
      <c r="H304">
        <v>2023</v>
      </c>
      <c r="I304" t="s">
        <v>271</v>
      </c>
      <c r="J304"/>
      <c r="K304"/>
      <c r="L304"/>
      <c r="M304">
        <v>2023</v>
      </c>
      <c r="N304"/>
      <c r="O304" t="s">
        <v>45</v>
      </c>
      <c r="P304"/>
      <c r="Q304" t="s">
        <v>1387</v>
      </c>
      <c r="R304" t="s">
        <v>604</v>
      </c>
      <c r="S304">
        <v>0.76</v>
      </c>
    </row>
    <row r="305" spans="1:19" s="7" customFormat="1" x14ac:dyDescent="0.3">
      <c r="A305" t="s">
        <v>557</v>
      </c>
      <c r="B305"/>
      <c r="C305" t="s">
        <v>558</v>
      </c>
      <c r="D305" t="s">
        <v>36</v>
      </c>
      <c r="E305" t="s">
        <v>37</v>
      </c>
      <c r="F305" t="s">
        <v>38</v>
      </c>
      <c r="G305" t="s">
        <v>39</v>
      </c>
      <c r="H305">
        <v>2023</v>
      </c>
      <c r="I305" t="s">
        <v>271</v>
      </c>
      <c r="J305"/>
      <c r="K305"/>
      <c r="L305"/>
      <c r="M305">
        <v>2023</v>
      </c>
      <c r="N305"/>
      <c r="O305" t="s">
        <v>45</v>
      </c>
      <c r="P305"/>
      <c r="Q305" t="s">
        <v>1388</v>
      </c>
      <c r="R305" t="s">
        <v>605</v>
      </c>
      <c r="S305">
        <v>10.8</v>
      </c>
    </row>
    <row r="306" spans="1:19" s="7" customFormat="1" x14ac:dyDescent="0.3">
      <c r="A306" t="s">
        <v>557</v>
      </c>
      <c r="B306"/>
      <c r="C306" t="s">
        <v>558</v>
      </c>
      <c r="D306" t="s">
        <v>36</v>
      </c>
      <c r="E306" t="s">
        <v>37</v>
      </c>
      <c r="F306" t="s">
        <v>38</v>
      </c>
      <c r="G306" t="s">
        <v>39</v>
      </c>
      <c r="H306">
        <v>2023</v>
      </c>
      <c r="I306" t="s">
        <v>271</v>
      </c>
      <c r="J306"/>
      <c r="K306"/>
      <c r="L306"/>
      <c r="M306">
        <v>2023</v>
      </c>
      <c r="N306"/>
      <c r="O306" t="s">
        <v>45</v>
      </c>
      <c r="P306"/>
      <c r="Q306" t="s">
        <v>1389</v>
      </c>
      <c r="R306" t="s">
        <v>606</v>
      </c>
      <c r="S306">
        <v>0.02</v>
      </c>
    </row>
    <row r="307" spans="1:19" s="7" customFormat="1" x14ac:dyDescent="0.3">
      <c r="A307" t="s">
        <v>557</v>
      </c>
      <c r="B307"/>
      <c r="C307" t="s">
        <v>558</v>
      </c>
      <c r="D307" t="s">
        <v>36</v>
      </c>
      <c r="E307" t="s">
        <v>37</v>
      </c>
      <c r="F307" t="s">
        <v>38</v>
      </c>
      <c r="G307" t="s">
        <v>39</v>
      </c>
      <c r="H307">
        <v>2023</v>
      </c>
      <c r="I307" t="s">
        <v>271</v>
      </c>
      <c r="J307"/>
      <c r="K307"/>
      <c r="L307"/>
      <c r="M307">
        <v>2023</v>
      </c>
      <c r="N307"/>
      <c r="O307" t="s">
        <v>45</v>
      </c>
      <c r="P307"/>
      <c r="Q307" t="s">
        <v>1390</v>
      </c>
      <c r="R307" t="s">
        <v>607</v>
      </c>
      <c r="S307">
        <v>5.89</v>
      </c>
    </row>
    <row r="308" spans="1:19" s="7" customFormat="1" x14ac:dyDescent="0.3">
      <c r="A308" t="s">
        <v>557</v>
      </c>
      <c r="B308"/>
      <c r="C308" t="s">
        <v>558</v>
      </c>
      <c r="D308" t="s">
        <v>36</v>
      </c>
      <c r="E308" t="s">
        <v>37</v>
      </c>
      <c r="F308" t="s">
        <v>38</v>
      </c>
      <c r="G308" t="s">
        <v>39</v>
      </c>
      <c r="H308">
        <v>2023</v>
      </c>
      <c r="I308" t="s">
        <v>271</v>
      </c>
      <c r="J308"/>
      <c r="K308"/>
      <c r="L308"/>
      <c r="M308">
        <v>2023</v>
      </c>
      <c r="N308"/>
      <c r="O308" t="s">
        <v>45</v>
      </c>
      <c r="P308"/>
      <c r="Q308" t="s">
        <v>1391</v>
      </c>
      <c r="R308" t="s">
        <v>608</v>
      </c>
      <c r="S308">
        <v>0.23</v>
      </c>
    </row>
    <row r="309" spans="1:19" s="7" customFormat="1" x14ac:dyDescent="0.3">
      <c r="A309" t="s">
        <v>557</v>
      </c>
      <c r="B309"/>
      <c r="C309" t="s">
        <v>558</v>
      </c>
      <c r="D309" t="s">
        <v>36</v>
      </c>
      <c r="E309" t="s">
        <v>37</v>
      </c>
      <c r="F309" t="s">
        <v>38</v>
      </c>
      <c r="G309" t="s">
        <v>39</v>
      </c>
      <c r="H309">
        <v>2023</v>
      </c>
      <c r="I309" t="s">
        <v>271</v>
      </c>
      <c r="J309"/>
      <c r="K309"/>
      <c r="L309"/>
      <c r="M309">
        <v>2023</v>
      </c>
      <c r="N309"/>
      <c r="O309" t="s">
        <v>45</v>
      </c>
      <c r="P309"/>
      <c r="Q309"/>
      <c r="R309" s="64" t="s">
        <v>609</v>
      </c>
      <c r="S309" s="65">
        <f>SUM(S301:S308)</f>
        <v>27.57</v>
      </c>
    </row>
    <row r="310" spans="1:19" s="7" customFormat="1" x14ac:dyDescent="0.3">
      <c r="A310" t="s">
        <v>557</v>
      </c>
      <c r="B310"/>
      <c r="C310" t="s">
        <v>558</v>
      </c>
      <c r="D310" t="s">
        <v>36</v>
      </c>
      <c r="E310" t="s">
        <v>37</v>
      </c>
      <c r="F310" t="s">
        <v>38</v>
      </c>
      <c r="G310" t="s">
        <v>39</v>
      </c>
      <c r="H310">
        <v>2023</v>
      </c>
      <c r="I310" t="s">
        <v>271</v>
      </c>
      <c r="J310"/>
      <c r="K310"/>
      <c r="L310"/>
      <c r="M310">
        <v>2023</v>
      </c>
      <c r="N310"/>
      <c r="O310" t="s">
        <v>45</v>
      </c>
      <c r="P310"/>
      <c r="Q310" t="s">
        <v>1385</v>
      </c>
      <c r="R310" t="s">
        <v>610</v>
      </c>
      <c r="S310">
        <v>6.19</v>
      </c>
    </row>
    <row r="311" spans="1:19" s="7" customFormat="1" x14ac:dyDescent="0.3">
      <c r="A311" t="s">
        <v>557</v>
      </c>
      <c r="B311"/>
      <c r="C311" t="s">
        <v>558</v>
      </c>
      <c r="D311" t="s">
        <v>36</v>
      </c>
      <c r="E311" t="s">
        <v>37</v>
      </c>
      <c r="F311" t="s">
        <v>38</v>
      </c>
      <c r="G311" t="s">
        <v>39</v>
      </c>
      <c r="H311">
        <v>2023</v>
      </c>
      <c r="I311" t="s">
        <v>271</v>
      </c>
      <c r="J311"/>
      <c r="K311"/>
      <c r="L311"/>
      <c r="M311">
        <v>2023</v>
      </c>
      <c r="N311"/>
      <c r="O311" t="s">
        <v>45</v>
      </c>
      <c r="P311"/>
      <c r="Q311" t="s">
        <v>1385</v>
      </c>
      <c r="R311" t="s">
        <v>611</v>
      </c>
      <c r="S311">
        <v>0.77</v>
      </c>
    </row>
    <row r="312" spans="1:19" s="7" customFormat="1" x14ac:dyDescent="0.3">
      <c r="A312" t="s">
        <v>557</v>
      </c>
      <c r="B312"/>
      <c r="C312" t="s">
        <v>558</v>
      </c>
      <c r="D312" t="s">
        <v>36</v>
      </c>
      <c r="E312" t="s">
        <v>37</v>
      </c>
      <c r="F312" t="s">
        <v>38</v>
      </c>
      <c r="G312" t="s">
        <v>39</v>
      </c>
      <c r="H312">
        <v>2023</v>
      </c>
      <c r="I312" t="s">
        <v>271</v>
      </c>
      <c r="J312"/>
      <c r="K312"/>
      <c r="L312"/>
      <c r="M312">
        <v>2023</v>
      </c>
      <c r="N312"/>
      <c r="O312" t="s">
        <v>45</v>
      </c>
      <c r="P312"/>
      <c r="Q312" t="s">
        <v>1386</v>
      </c>
      <c r="R312" t="s">
        <v>612</v>
      </c>
      <c r="S312">
        <v>2.81</v>
      </c>
    </row>
    <row r="313" spans="1:19" s="7" customFormat="1" x14ac:dyDescent="0.3">
      <c r="A313" t="s">
        <v>557</v>
      </c>
      <c r="B313"/>
      <c r="C313" t="s">
        <v>558</v>
      </c>
      <c r="D313" t="s">
        <v>36</v>
      </c>
      <c r="E313" t="s">
        <v>37</v>
      </c>
      <c r="F313" t="s">
        <v>38</v>
      </c>
      <c r="G313" t="s">
        <v>39</v>
      </c>
      <c r="H313">
        <v>2023</v>
      </c>
      <c r="I313" t="s">
        <v>271</v>
      </c>
      <c r="J313"/>
      <c r="K313"/>
      <c r="L313"/>
      <c r="M313">
        <v>2023</v>
      </c>
      <c r="N313"/>
      <c r="O313" t="s">
        <v>45</v>
      </c>
      <c r="P313"/>
      <c r="Q313" t="s">
        <v>1387</v>
      </c>
      <c r="R313" t="s">
        <v>613</v>
      </c>
      <c r="S313">
        <v>0.96</v>
      </c>
    </row>
    <row r="314" spans="1:19" s="7" customFormat="1" x14ac:dyDescent="0.3">
      <c r="A314" t="s">
        <v>557</v>
      </c>
      <c r="B314"/>
      <c r="C314" t="s">
        <v>558</v>
      </c>
      <c r="D314" t="s">
        <v>36</v>
      </c>
      <c r="E314" t="s">
        <v>37</v>
      </c>
      <c r="F314" t="s">
        <v>38</v>
      </c>
      <c r="G314" t="s">
        <v>39</v>
      </c>
      <c r="H314">
        <v>2023</v>
      </c>
      <c r="I314" t="s">
        <v>271</v>
      </c>
      <c r="J314"/>
      <c r="K314"/>
      <c r="L314"/>
      <c r="M314">
        <v>2023</v>
      </c>
      <c r="N314"/>
      <c r="O314" t="s">
        <v>45</v>
      </c>
      <c r="P314"/>
      <c r="Q314" t="s">
        <v>1388</v>
      </c>
      <c r="R314" t="s">
        <v>614</v>
      </c>
      <c r="S314">
        <v>11.25</v>
      </c>
    </row>
    <row r="315" spans="1:19" s="7" customFormat="1" x14ac:dyDescent="0.3">
      <c r="A315" t="s">
        <v>557</v>
      </c>
      <c r="B315"/>
      <c r="C315" t="s">
        <v>558</v>
      </c>
      <c r="D315" t="s">
        <v>36</v>
      </c>
      <c r="E315" t="s">
        <v>37</v>
      </c>
      <c r="F315" t="s">
        <v>38</v>
      </c>
      <c r="G315" t="s">
        <v>39</v>
      </c>
      <c r="H315">
        <v>2023</v>
      </c>
      <c r="I315" t="s">
        <v>271</v>
      </c>
      <c r="J315"/>
      <c r="K315"/>
      <c r="L315"/>
      <c r="M315">
        <v>2023</v>
      </c>
      <c r="N315"/>
      <c r="O315" t="s">
        <v>45</v>
      </c>
      <c r="P315"/>
      <c r="Q315" t="s">
        <v>1389</v>
      </c>
      <c r="R315" t="s">
        <v>615</v>
      </c>
      <c r="S315">
        <v>0</v>
      </c>
    </row>
    <row r="316" spans="1:19" s="7" customFormat="1" x14ac:dyDescent="0.3">
      <c r="A316" t="s">
        <v>557</v>
      </c>
      <c r="B316"/>
      <c r="C316" t="s">
        <v>558</v>
      </c>
      <c r="D316" t="s">
        <v>36</v>
      </c>
      <c r="E316" t="s">
        <v>37</v>
      </c>
      <c r="F316" t="s">
        <v>38</v>
      </c>
      <c r="G316" t="s">
        <v>39</v>
      </c>
      <c r="H316">
        <v>2023</v>
      </c>
      <c r="I316" t="s">
        <v>271</v>
      </c>
      <c r="J316"/>
      <c r="K316"/>
      <c r="L316"/>
      <c r="M316">
        <v>2023</v>
      </c>
      <c r="N316"/>
      <c r="O316" t="s">
        <v>45</v>
      </c>
      <c r="P316"/>
      <c r="Q316" t="s">
        <v>1390</v>
      </c>
      <c r="R316" t="s">
        <v>616</v>
      </c>
      <c r="S316">
        <v>7.28</v>
      </c>
    </row>
    <row r="317" spans="1:19" s="7" customFormat="1" x14ac:dyDescent="0.3">
      <c r="A317" t="s">
        <v>557</v>
      </c>
      <c r="B317"/>
      <c r="C317" t="s">
        <v>558</v>
      </c>
      <c r="D317" t="s">
        <v>36</v>
      </c>
      <c r="E317" t="s">
        <v>37</v>
      </c>
      <c r="F317" t="s">
        <v>38</v>
      </c>
      <c r="G317" t="s">
        <v>39</v>
      </c>
      <c r="H317">
        <v>2023</v>
      </c>
      <c r="I317" t="s">
        <v>271</v>
      </c>
      <c r="J317"/>
      <c r="K317"/>
      <c r="L317"/>
      <c r="M317">
        <v>2023</v>
      </c>
      <c r="N317"/>
      <c r="O317" t="s">
        <v>45</v>
      </c>
      <c r="P317"/>
      <c r="Q317" t="s">
        <v>1392</v>
      </c>
      <c r="R317" t="s">
        <v>617</v>
      </c>
      <c r="S317">
        <v>0.27</v>
      </c>
    </row>
    <row r="318" spans="1:19" s="7" customFormat="1" x14ac:dyDescent="0.3">
      <c r="A318" t="s">
        <v>557</v>
      </c>
      <c r="B318"/>
      <c r="C318" t="s">
        <v>558</v>
      </c>
      <c r="D318" t="s">
        <v>36</v>
      </c>
      <c r="E318" t="s">
        <v>37</v>
      </c>
      <c r="F318" t="s">
        <v>38</v>
      </c>
      <c r="G318" t="s">
        <v>39</v>
      </c>
      <c r="H318">
        <v>2023</v>
      </c>
      <c r="I318" t="s">
        <v>271</v>
      </c>
      <c r="J318"/>
      <c r="K318"/>
      <c r="L318"/>
      <c r="M318">
        <v>2023</v>
      </c>
      <c r="N318"/>
      <c r="O318" t="s">
        <v>45</v>
      </c>
      <c r="P318"/>
      <c r="Q318"/>
      <c r="R318" s="64" t="s">
        <v>618</v>
      </c>
      <c r="S318" s="65">
        <f>SUM(S310:S317)</f>
        <v>29.53</v>
      </c>
    </row>
    <row r="319" spans="1:19" s="7" customFormat="1" x14ac:dyDescent="0.3">
      <c r="A319" t="s">
        <v>557</v>
      </c>
      <c r="B319"/>
      <c r="C319" t="s">
        <v>558</v>
      </c>
      <c r="D319" t="s">
        <v>36</v>
      </c>
      <c r="E319" t="s">
        <v>37</v>
      </c>
      <c r="F319" t="s">
        <v>38</v>
      </c>
      <c r="G319" t="s">
        <v>39</v>
      </c>
      <c r="H319">
        <v>2023</v>
      </c>
      <c r="I319" t="s">
        <v>271</v>
      </c>
      <c r="J319"/>
      <c r="K319"/>
      <c r="L319"/>
      <c r="M319">
        <v>2023</v>
      </c>
      <c r="N319"/>
      <c r="O319" t="s">
        <v>45</v>
      </c>
      <c r="P319"/>
      <c r="Q319" t="s">
        <v>1385</v>
      </c>
      <c r="R319" t="s">
        <v>619</v>
      </c>
      <c r="S319">
        <v>6.3</v>
      </c>
    </row>
    <row r="320" spans="1:19" s="7" customFormat="1" x14ac:dyDescent="0.3">
      <c r="A320" t="s">
        <v>557</v>
      </c>
      <c r="B320"/>
      <c r="C320" t="s">
        <v>558</v>
      </c>
      <c r="D320" t="s">
        <v>36</v>
      </c>
      <c r="E320" t="s">
        <v>37</v>
      </c>
      <c r="F320" t="s">
        <v>38</v>
      </c>
      <c r="G320" t="s">
        <v>39</v>
      </c>
      <c r="H320">
        <v>2023</v>
      </c>
      <c r="I320" t="s">
        <v>271</v>
      </c>
      <c r="J320"/>
      <c r="K320"/>
      <c r="L320"/>
      <c r="M320">
        <v>2023</v>
      </c>
      <c r="N320"/>
      <c r="O320" t="s">
        <v>45</v>
      </c>
      <c r="P320"/>
      <c r="Q320" t="s">
        <v>1385</v>
      </c>
      <c r="R320" t="s">
        <v>620</v>
      </c>
      <c r="S320">
        <v>0.75</v>
      </c>
    </row>
    <row r="321" spans="1:19" s="7" customFormat="1" x14ac:dyDescent="0.3">
      <c r="A321" t="s">
        <v>557</v>
      </c>
      <c r="B321"/>
      <c r="C321" t="s">
        <v>558</v>
      </c>
      <c r="D321" t="s">
        <v>36</v>
      </c>
      <c r="E321" t="s">
        <v>37</v>
      </c>
      <c r="F321" t="s">
        <v>38</v>
      </c>
      <c r="G321" t="s">
        <v>39</v>
      </c>
      <c r="H321">
        <v>2023</v>
      </c>
      <c r="I321" t="s">
        <v>271</v>
      </c>
      <c r="J321"/>
      <c r="K321"/>
      <c r="L321"/>
      <c r="M321">
        <v>2023</v>
      </c>
      <c r="N321"/>
      <c r="O321" t="s">
        <v>45</v>
      </c>
      <c r="P321"/>
      <c r="Q321" t="s">
        <v>1386</v>
      </c>
      <c r="R321" t="s">
        <v>621</v>
      </c>
      <c r="S321">
        <v>2.69</v>
      </c>
    </row>
    <row r="322" spans="1:19" s="7" customFormat="1" x14ac:dyDescent="0.3">
      <c r="A322" t="s">
        <v>557</v>
      </c>
      <c r="B322"/>
      <c r="C322" t="s">
        <v>558</v>
      </c>
      <c r="D322" t="s">
        <v>36</v>
      </c>
      <c r="E322" t="s">
        <v>37</v>
      </c>
      <c r="F322" t="s">
        <v>38</v>
      </c>
      <c r="G322" t="s">
        <v>39</v>
      </c>
      <c r="H322">
        <v>2023</v>
      </c>
      <c r="I322" t="s">
        <v>271</v>
      </c>
      <c r="J322"/>
      <c r="K322"/>
      <c r="L322"/>
      <c r="M322">
        <v>2023</v>
      </c>
      <c r="N322"/>
      <c r="O322" t="s">
        <v>45</v>
      </c>
      <c r="P322"/>
      <c r="Q322" t="s">
        <v>1387</v>
      </c>
      <c r="R322" t="s">
        <v>622</v>
      </c>
      <c r="S322">
        <v>1.04</v>
      </c>
    </row>
    <row r="323" spans="1:19" s="7" customFormat="1" x14ac:dyDescent="0.3">
      <c r="A323" t="s">
        <v>557</v>
      </c>
      <c r="B323"/>
      <c r="C323" t="s">
        <v>558</v>
      </c>
      <c r="D323" t="s">
        <v>36</v>
      </c>
      <c r="E323" t="s">
        <v>37</v>
      </c>
      <c r="F323" t="s">
        <v>38</v>
      </c>
      <c r="G323" t="s">
        <v>39</v>
      </c>
      <c r="H323">
        <v>2023</v>
      </c>
      <c r="I323" t="s">
        <v>271</v>
      </c>
      <c r="J323"/>
      <c r="K323"/>
      <c r="L323"/>
      <c r="M323">
        <v>2023</v>
      </c>
      <c r="N323"/>
      <c r="O323" t="s">
        <v>45</v>
      </c>
      <c r="P323"/>
      <c r="Q323" t="s">
        <v>1388</v>
      </c>
      <c r="R323" t="s">
        <v>623</v>
      </c>
      <c r="S323">
        <v>11.29</v>
      </c>
    </row>
    <row r="324" spans="1:19" s="7" customFormat="1" x14ac:dyDescent="0.3">
      <c r="A324" t="s">
        <v>557</v>
      </c>
      <c r="B324"/>
      <c r="C324" t="s">
        <v>558</v>
      </c>
      <c r="D324" t="s">
        <v>36</v>
      </c>
      <c r="E324" t="s">
        <v>37</v>
      </c>
      <c r="F324" t="s">
        <v>38</v>
      </c>
      <c r="G324" t="s">
        <v>39</v>
      </c>
      <c r="H324">
        <v>2023</v>
      </c>
      <c r="I324" t="s">
        <v>271</v>
      </c>
      <c r="J324"/>
      <c r="K324"/>
      <c r="L324"/>
      <c r="M324">
        <v>2023</v>
      </c>
      <c r="N324"/>
      <c r="O324" t="s">
        <v>45</v>
      </c>
      <c r="P324"/>
      <c r="Q324" t="s">
        <v>1389</v>
      </c>
      <c r="R324" t="s">
        <v>624</v>
      </c>
      <c r="S324">
        <v>0</v>
      </c>
    </row>
    <row r="325" spans="1:19" s="7" customFormat="1" x14ac:dyDescent="0.3">
      <c r="A325" t="s">
        <v>557</v>
      </c>
      <c r="B325"/>
      <c r="C325" t="s">
        <v>558</v>
      </c>
      <c r="D325" t="s">
        <v>36</v>
      </c>
      <c r="E325" t="s">
        <v>37</v>
      </c>
      <c r="F325" t="s">
        <v>38</v>
      </c>
      <c r="G325" t="s">
        <v>39</v>
      </c>
      <c r="H325">
        <v>2023</v>
      </c>
      <c r="I325" t="s">
        <v>271</v>
      </c>
      <c r="J325"/>
      <c r="K325"/>
      <c r="L325"/>
      <c r="M325">
        <v>2023</v>
      </c>
      <c r="N325"/>
      <c r="O325" t="s">
        <v>45</v>
      </c>
      <c r="P325"/>
      <c r="Q325" t="s">
        <v>1390</v>
      </c>
      <c r="R325" t="s">
        <v>625</v>
      </c>
      <c r="S325">
        <v>10.71</v>
      </c>
    </row>
    <row r="326" spans="1:19" s="7" customFormat="1" x14ac:dyDescent="0.3">
      <c r="A326" t="s">
        <v>557</v>
      </c>
      <c r="B326"/>
      <c r="C326" t="s">
        <v>558</v>
      </c>
      <c r="D326" t="s">
        <v>36</v>
      </c>
      <c r="E326" t="s">
        <v>37</v>
      </c>
      <c r="F326" t="s">
        <v>38</v>
      </c>
      <c r="G326" t="s">
        <v>39</v>
      </c>
      <c r="H326">
        <v>2023</v>
      </c>
      <c r="I326" t="s">
        <v>271</v>
      </c>
      <c r="J326"/>
      <c r="K326"/>
      <c r="L326"/>
      <c r="M326">
        <v>2023</v>
      </c>
      <c r="N326"/>
      <c r="O326" t="s">
        <v>45</v>
      </c>
      <c r="P326"/>
      <c r="Q326" t="s">
        <v>1393</v>
      </c>
      <c r="R326" t="s">
        <v>626</v>
      </c>
      <c r="S326">
        <v>0.27</v>
      </c>
    </row>
    <row r="327" spans="1:19" s="7" customFormat="1" x14ac:dyDescent="0.3">
      <c r="A327" t="s">
        <v>557</v>
      </c>
      <c r="B327"/>
      <c r="C327" t="s">
        <v>558</v>
      </c>
      <c r="D327" t="s">
        <v>36</v>
      </c>
      <c r="E327" t="s">
        <v>37</v>
      </c>
      <c r="F327" t="s">
        <v>38</v>
      </c>
      <c r="G327" t="s">
        <v>39</v>
      </c>
      <c r="H327">
        <v>2023</v>
      </c>
      <c r="I327" t="s">
        <v>271</v>
      </c>
      <c r="J327"/>
      <c r="K327"/>
      <c r="L327"/>
      <c r="M327">
        <v>2023</v>
      </c>
      <c r="N327"/>
      <c r="O327" t="s">
        <v>45</v>
      </c>
      <c r="P327"/>
      <c r="Q327"/>
      <c r="R327" s="64" t="s">
        <v>627</v>
      </c>
      <c r="S327" s="65">
        <f>SUM(S319:S326)</f>
        <v>33.050000000000004</v>
      </c>
    </row>
    <row r="328" spans="1:19" s="7" customFormat="1" x14ac:dyDescent="0.3">
      <c r="A328" t="s">
        <v>557</v>
      </c>
      <c r="B328"/>
      <c r="C328" t="s">
        <v>558</v>
      </c>
      <c r="D328" t="s">
        <v>36</v>
      </c>
      <c r="E328" t="s">
        <v>37</v>
      </c>
      <c r="F328" t="s">
        <v>38</v>
      </c>
      <c r="G328" t="s">
        <v>39</v>
      </c>
      <c r="H328">
        <v>2023</v>
      </c>
      <c r="I328" t="s">
        <v>271</v>
      </c>
      <c r="J328"/>
      <c r="K328"/>
      <c r="L328"/>
      <c r="M328">
        <v>2023</v>
      </c>
      <c r="N328"/>
      <c r="O328" t="s">
        <v>45</v>
      </c>
      <c r="P328"/>
      <c r="Q328" t="s">
        <v>1385</v>
      </c>
      <c r="R328" t="s">
        <v>628</v>
      </c>
      <c r="S328">
        <v>6.48</v>
      </c>
    </row>
    <row r="329" spans="1:19" s="7" customFormat="1" x14ac:dyDescent="0.3">
      <c r="A329" t="s">
        <v>557</v>
      </c>
      <c r="B329"/>
      <c r="C329" t="s">
        <v>558</v>
      </c>
      <c r="D329" t="s">
        <v>36</v>
      </c>
      <c r="E329" t="s">
        <v>37</v>
      </c>
      <c r="F329" t="s">
        <v>38</v>
      </c>
      <c r="G329" t="s">
        <v>39</v>
      </c>
      <c r="H329">
        <v>2023</v>
      </c>
      <c r="I329" t="s">
        <v>271</v>
      </c>
      <c r="J329"/>
      <c r="K329"/>
      <c r="L329"/>
      <c r="M329">
        <v>2023</v>
      </c>
      <c r="N329"/>
      <c r="O329" t="s">
        <v>45</v>
      </c>
      <c r="P329"/>
      <c r="Q329" t="s">
        <v>1385</v>
      </c>
      <c r="R329" t="s">
        <v>629</v>
      </c>
      <c r="S329">
        <v>0.63</v>
      </c>
    </row>
    <row r="330" spans="1:19" s="7" customFormat="1" x14ac:dyDescent="0.3">
      <c r="A330" t="s">
        <v>557</v>
      </c>
      <c r="B330"/>
      <c r="C330" t="s">
        <v>558</v>
      </c>
      <c r="D330" t="s">
        <v>36</v>
      </c>
      <c r="E330" t="s">
        <v>37</v>
      </c>
      <c r="F330" t="s">
        <v>38</v>
      </c>
      <c r="G330" t="s">
        <v>39</v>
      </c>
      <c r="H330">
        <v>2023</v>
      </c>
      <c r="I330" t="s">
        <v>271</v>
      </c>
      <c r="J330"/>
      <c r="K330"/>
      <c r="L330"/>
      <c r="M330">
        <v>2023</v>
      </c>
      <c r="N330"/>
      <c r="O330" t="s">
        <v>45</v>
      </c>
      <c r="P330"/>
      <c r="Q330" t="s">
        <v>1386</v>
      </c>
      <c r="R330" t="s">
        <v>630</v>
      </c>
      <c r="S330">
        <v>2.41</v>
      </c>
    </row>
    <row r="331" spans="1:19" s="7" customFormat="1" x14ac:dyDescent="0.3">
      <c r="A331" t="s">
        <v>557</v>
      </c>
      <c r="B331"/>
      <c r="C331" t="s">
        <v>558</v>
      </c>
      <c r="D331" t="s">
        <v>36</v>
      </c>
      <c r="E331" t="s">
        <v>37</v>
      </c>
      <c r="F331" t="s">
        <v>38</v>
      </c>
      <c r="G331" t="s">
        <v>39</v>
      </c>
      <c r="H331">
        <v>2023</v>
      </c>
      <c r="I331" t="s">
        <v>271</v>
      </c>
      <c r="J331"/>
      <c r="K331"/>
      <c r="L331"/>
      <c r="M331">
        <v>2023</v>
      </c>
      <c r="N331"/>
      <c r="O331" t="s">
        <v>45</v>
      </c>
      <c r="P331"/>
      <c r="Q331" t="s">
        <v>1387</v>
      </c>
      <c r="R331" t="s">
        <v>631</v>
      </c>
      <c r="S331">
        <v>1.08</v>
      </c>
    </row>
    <row r="332" spans="1:19" s="7" customFormat="1" x14ac:dyDescent="0.3">
      <c r="A332" t="s">
        <v>557</v>
      </c>
      <c r="B332"/>
      <c r="C332" t="s">
        <v>558</v>
      </c>
      <c r="D332" t="s">
        <v>36</v>
      </c>
      <c r="E332" t="s">
        <v>37</v>
      </c>
      <c r="F332" t="s">
        <v>38</v>
      </c>
      <c r="G332" t="s">
        <v>39</v>
      </c>
      <c r="H332">
        <v>2023</v>
      </c>
      <c r="I332" t="s">
        <v>271</v>
      </c>
      <c r="J332"/>
      <c r="K332"/>
      <c r="L332"/>
      <c r="M332">
        <v>2023</v>
      </c>
      <c r="N332"/>
      <c r="O332" t="s">
        <v>45</v>
      </c>
      <c r="P332"/>
      <c r="Q332" t="s">
        <v>1388</v>
      </c>
      <c r="R332" t="s">
        <v>632</v>
      </c>
      <c r="S332">
        <v>11.17</v>
      </c>
    </row>
    <row r="333" spans="1:19" s="7" customFormat="1" x14ac:dyDescent="0.3">
      <c r="A333" t="s">
        <v>557</v>
      </c>
      <c r="B333"/>
      <c r="C333" t="s">
        <v>558</v>
      </c>
      <c r="D333" t="s">
        <v>36</v>
      </c>
      <c r="E333" t="s">
        <v>37</v>
      </c>
      <c r="F333" t="s">
        <v>38</v>
      </c>
      <c r="G333" t="s">
        <v>39</v>
      </c>
      <c r="H333">
        <v>2023</v>
      </c>
      <c r="I333" t="s">
        <v>271</v>
      </c>
      <c r="J333"/>
      <c r="K333"/>
      <c r="L333"/>
      <c r="M333">
        <v>2023</v>
      </c>
      <c r="N333"/>
      <c r="O333" t="s">
        <v>45</v>
      </c>
      <c r="P333"/>
      <c r="Q333" t="s">
        <v>1389</v>
      </c>
      <c r="R333" t="s">
        <v>633</v>
      </c>
      <c r="S333">
        <v>0</v>
      </c>
    </row>
    <row r="334" spans="1:19" s="7" customFormat="1" x14ac:dyDescent="0.3">
      <c r="A334" t="s">
        <v>557</v>
      </c>
      <c r="B334"/>
      <c r="C334" t="s">
        <v>558</v>
      </c>
      <c r="D334" t="s">
        <v>36</v>
      </c>
      <c r="E334" t="s">
        <v>37</v>
      </c>
      <c r="F334" t="s">
        <v>38</v>
      </c>
      <c r="G334" t="s">
        <v>39</v>
      </c>
      <c r="H334">
        <v>2023</v>
      </c>
      <c r="I334" t="s">
        <v>271</v>
      </c>
      <c r="J334"/>
      <c r="K334"/>
      <c r="L334"/>
      <c r="M334">
        <v>2023</v>
      </c>
      <c r="N334"/>
      <c r="O334" t="s">
        <v>45</v>
      </c>
      <c r="P334"/>
      <c r="Q334" t="s">
        <v>1390</v>
      </c>
      <c r="R334" t="s">
        <v>634</v>
      </c>
      <c r="S334">
        <v>11.67</v>
      </c>
    </row>
    <row r="335" spans="1:19" s="7" customFormat="1" x14ac:dyDescent="0.3">
      <c r="A335" t="s">
        <v>557</v>
      </c>
      <c r="B335"/>
      <c r="C335" t="s">
        <v>558</v>
      </c>
      <c r="D335" t="s">
        <v>36</v>
      </c>
      <c r="E335" t="s">
        <v>37</v>
      </c>
      <c r="F335" t="s">
        <v>38</v>
      </c>
      <c r="G335" t="s">
        <v>39</v>
      </c>
      <c r="H335">
        <v>2023</v>
      </c>
      <c r="I335" t="s">
        <v>271</v>
      </c>
      <c r="J335"/>
      <c r="K335"/>
      <c r="L335"/>
      <c r="M335">
        <v>2023</v>
      </c>
      <c r="N335"/>
      <c r="O335" t="s">
        <v>45</v>
      </c>
      <c r="P335"/>
      <c r="Q335" t="s">
        <v>1394</v>
      </c>
      <c r="R335" t="s">
        <v>635</v>
      </c>
      <c r="S335">
        <v>0.28999999999999998</v>
      </c>
    </row>
    <row r="336" spans="1:19" s="7" customFormat="1" x14ac:dyDescent="0.3">
      <c r="A336" t="s">
        <v>557</v>
      </c>
      <c r="B336"/>
      <c r="C336" t="s">
        <v>558</v>
      </c>
      <c r="D336" t="s">
        <v>36</v>
      </c>
      <c r="E336" t="s">
        <v>37</v>
      </c>
      <c r="F336" t="s">
        <v>38</v>
      </c>
      <c r="G336" t="s">
        <v>39</v>
      </c>
      <c r="H336">
        <v>2023</v>
      </c>
      <c r="I336" t="s">
        <v>271</v>
      </c>
      <c r="J336"/>
      <c r="K336"/>
      <c r="L336"/>
      <c r="M336">
        <v>2023</v>
      </c>
      <c r="N336"/>
      <c r="O336" t="s">
        <v>45</v>
      </c>
      <c r="P336"/>
      <c r="Q336"/>
      <c r="R336" s="64" t="s">
        <v>636</v>
      </c>
      <c r="S336" s="65">
        <f>SUM(S328:S335)</f>
        <v>33.729999999999997</v>
      </c>
    </row>
    <row r="337" spans="1:19" s="7" customFormat="1" x14ac:dyDescent="0.3">
      <c r="A337" t="s">
        <v>557</v>
      </c>
      <c r="B337"/>
      <c r="C337" t="s">
        <v>558</v>
      </c>
      <c r="D337" t="s">
        <v>36</v>
      </c>
      <c r="E337" t="s">
        <v>37</v>
      </c>
      <c r="F337" t="s">
        <v>38</v>
      </c>
      <c r="G337" t="s">
        <v>39</v>
      </c>
      <c r="H337">
        <v>2023</v>
      </c>
      <c r="I337" t="s">
        <v>271</v>
      </c>
      <c r="J337"/>
      <c r="K337"/>
      <c r="L337"/>
      <c r="M337">
        <v>2023</v>
      </c>
      <c r="N337"/>
      <c r="O337" t="s">
        <v>45</v>
      </c>
      <c r="P337"/>
      <c r="Q337" t="s">
        <v>1385</v>
      </c>
      <c r="R337" t="s">
        <v>637</v>
      </c>
      <c r="S337">
        <v>6.35</v>
      </c>
    </row>
    <row r="338" spans="1:19" s="7" customFormat="1" x14ac:dyDescent="0.3">
      <c r="A338" t="s">
        <v>557</v>
      </c>
      <c r="B338"/>
      <c r="C338" t="s">
        <v>558</v>
      </c>
      <c r="D338" t="s">
        <v>36</v>
      </c>
      <c r="E338" t="s">
        <v>37</v>
      </c>
      <c r="F338" t="s">
        <v>38</v>
      </c>
      <c r="G338" t="s">
        <v>39</v>
      </c>
      <c r="H338">
        <v>2023</v>
      </c>
      <c r="I338" t="s">
        <v>271</v>
      </c>
      <c r="J338"/>
      <c r="K338"/>
      <c r="L338"/>
      <c r="M338">
        <v>2023</v>
      </c>
      <c r="N338"/>
      <c r="O338" t="s">
        <v>45</v>
      </c>
      <c r="P338"/>
      <c r="Q338" t="s">
        <v>1385</v>
      </c>
      <c r="R338" t="s">
        <v>638</v>
      </c>
      <c r="S338">
        <v>0.6</v>
      </c>
    </row>
    <row r="339" spans="1:19" s="7" customFormat="1" x14ac:dyDescent="0.3">
      <c r="A339" t="s">
        <v>557</v>
      </c>
      <c r="B339"/>
      <c r="C339" t="s">
        <v>558</v>
      </c>
      <c r="D339" t="s">
        <v>36</v>
      </c>
      <c r="E339" t="s">
        <v>37</v>
      </c>
      <c r="F339" t="s">
        <v>38</v>
      </c>
      <c r="G339" t="s">
        <v>39</v>
      </c>
      <c r="H339">
        <v>2023</v>
      </c>
      <c r="I339" t="s">
        <v>271</v>
      </c>
      <c r="J339"/>
      <c r="K339"/>
      <c r="L339"/>
      <c r="M339">
        <v>2023</v>
      </c>
      <c r="N339"/>
      <c r="O339" t="s">
        <v>45</v>
      </c>
      <c r="P339"/>
      <c r="Q339" t="s">
        <v>1386</v>
      </c>
      <c r="R339" t="s">
        <v>639</v>
      </c>
      <c r="S339">
        <v>2.5299999999999998</v>
      </c>
    </row>
    <row r="340" spans="1:19" s="7" customFormat="1" x14ac:dyDescent="0.3">
      <c r="A340" t="s">
        <v>557</v>
      </c>
      <c r="B340"/>
      <c r="C340" t="s">
        <v>558</v>
      </c>
      <c r="D340" t="s">
        <v>36</v>
      </c>
      <c r="E340" t="s">
        <v>37</v>
      </c>
      <c r="F340" t="s">
        <v>38</v>
      </c>
      <c r="G340" t="s">
        <v>39</v>
      </c>
      <c r="H340">
        <v>2023</v>
      </c>
      <c r="I340" t="s">
        <v>271</v>
      </c>
      <c r="J340"/>
      <c r="K340"/>
      <c r="L340"/>
      <c r="M340">
        <v>2023</v>
      </c>
      <c r="N340"/>
      <c r="O340" t="s">
        <v>45</v>
      </c>
      <c r="P340"/>
      <c r="Q340" t="s">
        <v>1387</v>
      </c>
      <c r="R340" t="s">
        <v>640</v>
      </c>
      <c r="S340">
        <v>1.08</v>
      </c>
    </row>
    <row r="341" spans="1:19" s="7" customFormat="1" x14ac:dyDescent="0.3">
      <c r="A341" t="s">
        <v>557</v>
      </c>
      <c r="B341"/>
      <c r="C341" t="s">
        <v>558</v>
      </c>
      <c r="D341" t="s">
        <v>36</v>
      </c>
      <c r="E341" t="s">
        <v>37</v>
      </c>
      <c r="F341" t="s">
        <v>38</v>
      </c>
      <c r="G341" t="s">
        <v>39</v>
      </c>
      <c r="H341">
        <v>2023</v>
      </c>
      <c r="I341" t="s">
        <v>271</v>
      </c>
      <c r="J341"/>
      <c r="K341"/>
      <c r="L341"/>
      <c r="M341">
        <v>2023</v>
      </c>
      <c r="N341"/>
      <c r="O341" t="s">
        <v>45</v>
      </c>
      <c r="P341"/>
      <c r="Q341" t="s">
        <v>1388</v>
      </c>
      <c r="R341" t="s">
        <v>641</v>
      </c>
      <c r="S341">
        <v>11.1</v>
      </c>
    </row>
    <row r="342" spans="1:19" s="7" customFormat="1" x14ac:dyDescent="0.3">
      <c r="A342" t="s">
        <v>557</v>
      </c>
      <c r="B342"/>
      <c r="C342" t="s">
        <v>558</v>
      </c>
      <c r="D342" t="s">
        <v>36</v>
      </c>
      <c r="E342" t="s">
        <v>37</v>
      </c>
      <c r="F342" t="s">
        <v>38</v>
      </c>
      <c r="G342" t="s">
        <v>39</v>
      </c>
      <c r="H342">
        <v>2023</v>
      </c>
      <c r="I342" t="s">
        <v>271</v>
      </c>
      <c r="J342"/>
      <c r="K342"/>
      <c r="L342"/>
      <c r="M342">
        <v>2023</v>
      </c>
      <c r="N342"/>
      <c r="O342" t="s">
        <v>45</v>
      </c>
      <c r="P342"/>
      <c r="Q342" t="s">
        <v>1389</v>
      </c>
      <c r="R342" t="s">
        <v>642</v>
      </c>
      <c r="S342">
        <v>0.05</v>
      </c>
    </row>
    <row r="343" spans="1:19" s="7" customFormat="1" x14ac:dyDescent="0.3">
      <c r="A343" t="s">
        <v>557</v>
      </c>
      <c r="B343"/>
      <c r="C343" t="s">
        <v>558</v>
      </c>
      <c r="D343" t="s">
        <v>36</v>
      </c>
      <c r="E343" t="s">
        <v>37</v>
      </c>
      <c r="F343" t="s">
        <v>38</v>
      </c>
      <c r="G343" t="s">
        <v>39</v>
      </c>
      <c r="H343">
        <v>2023</v>
      </c>
      <c r="I343" t="s">
        <v>271</v>
      </c>
      <c r="J343"/>
      <c r="K343"/>
      <c r="L343"/>
      <c r="M343">
        <v>2023</v>
      </c>
      <c r="N343"/>
      <c r="O343" t="s">
        <v>45</v>
      </c>
      <c r="P343"/>
      <c r="Q343" t="s">
        <v>1390</v>
      </c>
      <c r="R343" t="s">
        <v>643</v>
      </c>
      <c r="S343">
        <v>14.67</v>
      </c>
    </row>
    <row r="344" spans="1:19" s="7" customFormat="1" x14ac:dyDescent="0.3">
      <c r="A344" t="s">
        <v>557</v>
      </c>
      <c r="B344"/>
      <c r="C344" t="s">
        <v>558</v>
      </c>
      <c r="D344" t="s">
        <v>36</v>
      </c>
      <c r="E344" t="s">
        <v>37</v>
      </c>
      <c r="F344" t="s">
        <v>38</v>
      </c>
      <c r="G344" t="s">
        <v>39</v>
      </c>
      <c r="H344">
        <v>2023</v>
      </c>
      <c r="I344" t="s">
        <v>271</v>
      </c>
      <c r="J344"/>
      <c r="K344"/>
      <c r="L344"/>
      <c r="M344">
        <v>2023</v>
      </c>
      <c r="N344"/>
      <c r="O344" t="s">
        <v>45</v>
      </c>
      <c r="P344"/>
      <c r="Q344" t="s">
        <v>1395</v>
      </c>
      <c r="R344" t="s">
        <v>644</v>
      </c>
      <c r="S344">
        <v>0.33</v>
      </c>
    </row>
    <row r="345" spans="1:19" s="7" customFormat="1" x14ac:dyDescent="0.3">
      <c r="A345" t="s">
        <v>557</v>
      </c>
      <c r="B345"/>
      <c r="C345" t="s">
        <v>558</v>
      </c>
      <c r="D345" t="s">
        <v>36</v>
      </c>
      <c r="E345" t="s">
        <v>37</v>
      </c>
      <c r="F345" t="s">
        <v>38</v>
      </c>
      <c r="G345" t="s">
        <v>39</v>
      </c>
      <c r="H345">
        <v>2023</v>
      </c>
      <c r="I345" t="s">
        <v>271</v>
      </c>
      <c r="J345"/>
      <c r="K345"/>
      <c r="L345"/>
      <c r="M345">
        <v>2023</v>
      </c>
      <c r="N345"/>
      <c r="O345" t="s">
        <v>45</v>
      </c>
      <c r="P345"/>
      <c r="Q345"/>
      <c r="R345" s="64" t="s">
        <v>645</v>
      </c>
      <c r="S345" s="65">
        <f>SUM(S337:S344)</f>
        <v>36.709999999999994</v>
      </c>
    </row>
    <row r="346" spans="1:19" s="7" customFormat="1" x14ac:dyDescent="0.3">
      <c r="A346" t="s">
        <v>557</v>
      </c>
      <c r="B346"/>
      <c r="C346" t="s">
        <v>558</v>
      </c>
      <c r="D346" t="s">
        <v>36</v>
      </c>
      <c r="E346" t="s">
        <v>37</v>
      </c>
      <c r="F346" t="s">
        <v>38</v>
      </c>
      <c r="G346" t="s">
        <v>39</v>
      </c>
      <c r="H346">
        <v>2023</v>
      </c>
      <c r="I346" t="s">
        <v>271</v>
      </c>
      <c r="J346"/>
      <c r="K346"/>
      <c r="L346"/>
      <c r="M346">
        <v>2023</v>
      </c>
      <c r="N346"/>
      <c r="O346" t="s">
        <v>45</v>
      </c>
      <c r="P346"/>
      <c r="Q346" t="s">
        <v>1385</v>
      </c>
      <c r="R346" t="s">
        <v>646</v>
      </c>
      <c r="S346">
        <v>6.55</v>
      </c>
    </row>
    <row r="347" spans="1:19" s="7" customFormat="1" x14ac:dyDescent="0.3">
      <c r="A347" t="s">
        <v>557</v>
      </c>
      <c r="B347"/>
      <c r="C347" t="s">
        <v>558</v>
      </c>
      <c r="D347" t="s">
        <v>36</v>
      </c>
      <c r="E347" t="s">
        <v>37</v>
      </c>
      <c r="F347" t="s">
        <v>38</v>
      </c>
      <c r="G347" t="s">
        <v>39</v>
      </c>
      <c r="H347">
        <v>2023</v>
      </c>
      <c r="I347" t="s">
        <v>271</v>
      </c>
      <c r="J347"/>
      <c r="K347"/>
      <c r="L347"/>
      <c r="M347">
        <v>2023</v>
      </c>
      <c r="N347"/>
      <c r="O347" t="s">
        <v>45</v>
      </c>
      <c r="P347"/>
      <c r="Q347" t="s">
        <v>1385</v>
      </c>
      <c r="R347" t="s">
        <v>647</v>
      </c>
      <c r="S347">
        <v>0.56999999999999995</v>
      </c>
    </row>
    <row r="348" spans="1:19" s="7" customFormat="1" x14ac:dyDescent="0.3">
      <c r="A348" t="s">
        <v>557</v>
      </c>
      <c r="B348"/>
      <c r="C348" t="s">
        <v>558</v>
      </c>
      <c r="D348" t="s">
        <v>36</v>
      </c>
      <c r="E348" t="s">
        <v>37</v>
      </c>
      <c r="F348" t="s">
        <v>38</v>
      </c>
      <c r="G348" t="s">
        <v>39</v>
      </c>
      <c r="H348">
        <v>2023</v>
      </c>
      <c r="I348" t="s">
        <v>271</v>
      </c>
      <c r="J348"/>
      <c r="K348"/>
      <c r="L348"/>
      <c r="M348">
        <v>2023</v>
      </c>
      <c r="N348"/>
      <c r="O348" t="s">
        <v>45</v>
      </c>
      <c r="P348"/>
      <c r="Q348" t="s">
        <v>1386</v>
      </c>
      <c r="R348" t="s">
        <v>648</v>
      </c>
      <c r="S348">
        <v>3.11</v>
      </c>
    </row>
    <row r="349" spans="1:19" s="7" customFormat="1" x14ac:dyDescent="0.3">
      <c r="A349" t="s">
        <v>557</v>
      </c>
      <c r="B349"/>
      <c r="C349" t="s">
        <v>558</v>
      </c>
      <c r="D349" t="s">
        <v>36</v>
      </c>
      <c r="E349" t="s">
        <v>37</v>
      </c>
      <c r="F349" t="s">
        <v>38</v>
      </c>
      <c r="G349" t="s">
        <v>39</v>
      </c>
      <c r="H349">
        <v>2023</v>
      </c>
      <c r="I349" t="s">
        <v>271</v>
      </c>
      <c r="J349"/>
      <c r="K349"/>
      <c r="L349"/>
      <c r="M349">
        <v>2023</v>
      </c>
      <c r="N349"/>
      <c r="O349" t="s">
        <v>45</v>
      </c>
      <c r="P349"/>
      <c r="Q349" t="s">
        <v>1387</v>
      </c>
      <c r="R349" t="s">
        <v>649</v>
      </c>
      <c r="S349">
        <v>1.0900000000000001</v>
      </c>
    </row>
    <row r="350" spans="1:19" s="7" customFormat="1" x14ac:dyDescent="0.3">
      <c r="A350" t="s">
        <v>557</v>
      </c>
      <c r="B350"/>
      <c r="C350" t="s">
        <v>558</v>
      </c>
      <c r="D350" t="s">
        <v>36</v>
      </c>
      <c r="E350" t="s">
        <v>37</v>
      </c>
      <c r="F350" t="s">
        <v>38</v>
      </c>
      <c r="G350" t="s">
        <v>39</v>
      </c>
      <c r="H350">
        <v>2023</v>
      </c>
      <c r="I350" t="s">
        <v>271</v>
      </c>
      <c r="J350"/>
      <c r="K350"/>
      <c r="L350"/>
      <c r="M350">
        <v>2023</v>
      </c>
      <c r="N350"/>
      <c r="O350" t="s">
        <v>45</v>
      </c>
      <c r="P350"/>
      <c r="Q350" t="s">
        <v>1388</v>
      </c>
      <c r="R350" t="s">
        <v>650</v>
      </c>
      <c r="S350">
        <v>10.62</v>
      </c>
    </row>
    <row r="351" spans="1:19" s="7" customFormat="1" x14ac:dyDescent="0.3">
      <c r="A351" t="s">
        <v>557</v>
      </c>
      <c r="B351"/>
      <c r="C351" t="s">
        <v>558</v>
      </c>
      <c r="D351" t="s">
        <v>36</v>
      </c>
      <c r="E351" t="s">
        <v>37</v>
      </c>
      <c r="F351" t="s">
        <v>38</v>
      </c>
      <c r="G351" t="s">
        <v>39</v>
      </c>
      <c r="H351">
        <v>2023</v>
      </c>
      <c r="I351" t="s">
        <v>271</v>
      </c>
      <c r="J351"/>
      <c r="K351"/>
      <c r="L351"/>
      <c r="M351">
        <v>2023</v>
      </c>
      <c r="N351"/>
      <c r="O351" t="s">
        <v>45</v>
      </c>
      <c r="P351"/>
      <c r="Q351" t="s">
        <v>1389</v>
      </c>
      <c r="R351" t="s">
        <v>651</v>
      </c>
      <c r="S351">
        <v>0.14000000000000001</v>
      </c>
    </row>
    <row r="352" spans="1:19" s="7" customFormat="1" x14ac:dyDescent="0.3">
      <c r="A352" t="s">
        <v>557</v>
      </c>
      <c r="B352"/>
      <c r="C352" t="s">
        <v>558</v>
      </c>
      <c r="D352" t="s">
        <v>36</v>
      </c>
      <c r="E352" t="s">
        <v>37</v>
      </c>
      <c r="F352" t="s">
        <v>38</v>
      </c>
      <c r="G352" t="s">
        <v>39</v>
      </c>
      <c r="H352">
        <v>2023</v>
      </c>
      <c r="I352" t="s">
        <v>271</v>
      </c>
      <c r="J352"/>
      <c r="K352"/>
      <c r="L352"/>
      <c r="M352">
        <v>2023</v>
      </c>
      <c r="N352"/>
      <c r="O352" t="s">
        <v>45</v>
      </c>
      <c r="P352"/>
      <c r="Q352" t="s">
        <v>1390</v>
      </c>
      <c r="R352" t="s">
        <v>652</v>
      </c>
      <c r="S352">
        <v>12.6</v>
      </c>
    </row>
    <row r="353" spans="1:19" s="7" customFormat="1" x14ac:dyDescent="0.3">
      <c r="A353" t="s">
        <v>557</v>
      </c>
      <c r="B353"/>
      <c r="C353" t="s">
        <v>558</v>
      </c>
      <c r="D353" t="s">
        <v>36</v>
      </c>
      <c r="E353" t="s">
        <v>37</v>
      </c>
      <c r="F353" t="s">
        <v>38</v>
      </c>
      <c r="G353" t="s">
        <v>39</v>
      </c>
      <c r="H353">
        <v>2023</v>
      </c>
      <c r="I353" t="s">
        <v>271</v>
      </c>
      <c r="J353"/>
      <c r="K353"/>
      <c r="L353"/>
      <c r="M353">
        <v>2023</v>
      </c>
      <c r="N353"/>
      <c r="O353" t="s">
        <v>45</v>
      </c>
      <c r="P353"/>
      <c r="Q353" t="s">
        <v>1396</v>
      </c>
      <c r="R353" t="s">
        <v>653</v>
      </c>
      <c r="S353">
        <v>0.34</v>
      </c>
    </row>
    <row r="354" spans="1:19" s="7" customFormat="1" x14ac:dyDescent="0.3">
      <c r="A354" t="s">
        <v>557</v>
      </c>
      <c r="B354"/>
      <c r="C354" t="s">
        <v>558</v>
      </c>
      <c r="D354" t="s">
        <v>36</v>
      </c>
      <c r="E354" t="s">
        <v>37</v>
      </c>
      <c r="F354" t="s">
        <v>38</v>
      </c>
      <c r="G354" t="s">
        <v>39</v>
      </c>
      <c r="H354">
        <v>2023</v>
      </c>
      <c r="I354" t="s">
        <v>271</v>
      </c>
      <c r="J354"/>
      <c r="K354"/>
      <c r="L354"/>
      <c r="M354">
        <v>2023</v>
      </c>
      <c r="N354"/>
      <c r="O354" t="s">
        <v>45</v>
      </c>
      <c r="P354"/>
      <c r="Q354"/>
      <c r="R354" s="64" t="s">
        <v>654</v>
      </c>
      <c r="S354" s="65">
        <f>SUM(S346:S353)</f>
        <v>35.020000000000003</v>
      </c>
    </row>
    <row r="355" spans="1:19" s="7" customFormat="1" x14ac:dyDescent="0.3">
      <c r="A355" t="s">
        <v>557</v>
      </c>
      <c r="B355"/>
      <c r="C355" t="s">
        <v>558</v>
      </c>
      <c r="D355" t="s">
        <v>36</v>
      </c>
      <c r="E355" t="s">
        <v>37</v>
      </c>
      <c r="F355" t="s">
        <v>38</v>
      </c>
      <c r="G355" t="s">
        <v>39</v>
      </c>
      <c r="H355">
        <v>2023</v>
      </c>
      <c r="I355" t="s">
        <v>271</v>
      </c>
      <c r="J355"/>
      <c r="K355"/>
      <c r="L355"/>
      <c r="M355">
        <v>2023</v>
      </c>
      <c r="N355"/>
      <c r="O355" t="s">
        <v>45</v>
      </c>
      <c r="P355"/>
      <c r="Q355" t="s">
        <v>1385</v>
      </c>
      <c r="R355" t="s">
        <v>655</v>
      </c>
      <c r="S355">
        <v>6.63</v>
      </c>
    </row>
    <row r="356" spans="1:19" s="7" customFormat="1" x14ac:dyDescent="0.3">
      <c r="A356" t="s">
        <v>557</v>
      </c>
      <c r="B356"/>
      <c r="C356" t="s">
        <v>558</v>
      </c>
      <c r="D356" t="s">
        <v>36</v>
      </c>
      <c r="E356" t="s">
        <v>37</v>
      </c>
      <c r="F356" t="s">
        <v>38</v>
      </c>
      <c r="G356" t="s">
        <v>39</v>
      </c>
      <c r="H356">
        <v>2023</v>
      </c>
      <c r="I356" t="s">
        <v>271</v>
      </c>
      <c r="J356"/>
      <c r="K356"/>
      <c r="L356"/>
      <c r="M356">
        <v>2023</v>
      </c>
      <c r="N356"/>
      <c r="O356" t="s">
        <v>45</v>
      </c>
      <c r="P356"/>
      <c r="Q356" t="s">
        <v>1385</v>
      </c>
      <c r="R356" t="s">
        <v>656</v>
      </c>
      <c r="S356">
        <v>0.56999999999999995</v>
      </c>
    </row>
    <row r="357" spans="1:19" s="7" customFormat="1" x14ac:dyDescent="0.3">
      <c r="A357" t="s">
        <v>557</v>
      </c>
      <c r="B357"/>
      <c r="C357" t="s">
        <v>558</v>
      </c>
      <c r="D357" t="s">
        <v>36</v>
      </c>
      <c r="E357" t="s">
        <v>37</v>
      </c>
      <c r="F357" t="s">
        <v>38</v>
      </c>
      <c r="G357" t="s">
        <v>39</v>
      </c>
      <c r="H357">
        <v>2023</v>
      </c>
      <c r="I357" t="s">
        <v>271</v>
      </c>
      <c r="J357"/>
      <c r="K357"/>
      <c r="L357"/>
      <c r="M357">
        <v>2023</v>
      </c>
      <c r="N357"/>
      <c r="O357" t="s">
        <v>45</v>
      </c>
      <c r="P357"/>
      <c r="Q357" t="s">
        <v>1386</v>
      </c>
      <c r="R357" t="s">
        <v>657</v>
      </c>
      <c r="S357">
        <v>3.96</v>
      </c>
    </row>
    <row r="358" spans="1:19" s="7" customFormat="1" x14ac:dyDescent="0.3">
      <c r="A358" t="s">
        <v>557</v>
      </c>
      <c r="B358"/>
      <c r="C358" t="s">
        <v>558</v>
      </c>
      <c r="D358" t="s">
        <v>36</v>
      </c>
      <c r="E358" t="s">
        <v>37</v>
      </c>
      <c r="F358" t="s">
        <v>38</v>
      </c>
      <c r="G358" t="s">
        <v>39</v>
      </c>
      <c r="H358">
        <v>2023</v>
      </c>
      <c r="I358" t="s">
        <v>271</v>
      </c>
      <c r="J358"/>
      <c r="K358"/>
      <c r="L358"/>
      <c r="M358">
        <v>2023</v>
      </c>
      <c r="N358"/>
      <c r="O358" t="s">
        <v>45</v>
      </c>
      <c r="P358"/>
      <c r="Q358" t="s">
        <v>1387</v>
      </c>
      <c r="R358" t="s">
        <v>658</v>
      </c>
      <c r="S358">
        <v>1.25</v>
      </c>
    </row>
    <row r="359" spans="1:19" s="7" customFormat="1" x14ac:dyDescent="0.3">
      <c r="A359" t="s">
        <v>557</v>
      </c>
      <c r="B359"/>
      <c r="C359" t="s">
        <v>558</v>
      </c>
      <c r="D359" t="s">
        <v>36</v>
      </c>
      <c r="E359" t="s">
        <v>37</v>
      </c>
      <c r="F359" t="s">
        <v>38</v>
      </c>
      <c r="G359" t="s">
        <v>39</v>
      </c>
      <c r="H359">
        <v>2023</v>
      </c>
      <c r="I359" t="s">
        <v>271</v>
      </c>
      <c r="J359"/>
      <c r="K359"/>
      <c r="L359"/>
      <c r="M359">
        <v>2023</v>
      </c>
      <c r="N359"/>
      <c r="O359" t="s">
        <v>45</v>
      </c>
      <c r="P359"/>
      <c r="Q359" t="s">
        <v>1388</v>
      </c>
      <c r="R359" t="s">
        <v>659</v>
      </c>
      <c r="S359">
        <v>10.4</v>
      </c>
    </row>
    <row r="360" spans="1:19" s="7" customFormat="1" x14ac:dyDescent="0.3">
      <c r="A360" t="s">
        <v>557</v>
      </c>
      <c r="B360"/>
      <c r="C360" t="s">
        <v>558</v>
      </c>
      <c r="D360" t="s">
        <v>36</v>
      </c>
      <c r="E360" t="s">
        <v>37</v>
      </c>
      <c r="F360" t="s">
        <v>38</v>
      </c>
      <c r="G360" t="s">
        <v>39</v>
      </c>
      <c r="H360">
        <v>2023</v>
      </c>
      <c r="I360" t="s">
        <v>271</v>
      </c>
      <c r="J360"/>
      <c r="K360"/>
      <c r="L360"/>
      <c r="M360">
        <v>2023</v>
      </c>
      <c r="N360"/>
      <c r="O360" t="s">
        <v>45</v>
      </c>
      <c r="P360"/>
      <c r="Q360" t="s">
        <v>1389</v>
      </c>
      <c r="R360" t="s">
        <v>660</v>
      </c>
      <c r="S360">
        <v>0.14000000000000001</v>
      </c>
    </row>
    <row r="361" spans="1:19" s="7" customFormat="1" x14ac:dyDescent="0.3">
      <c r="A361" t="s">
        <v>557</v>
      </c>
      <c r="B361"/>
      <c r="C361" t="s">
        <v>558</v>
      </c>
      <c r="D361" t="s">
        <v>36</v>
      </c>
      <c r="E361" t="s">
        <v>37</v>
      </c>
      <c r="F361" t="s">
        <v>38</v>
      </c>
      <c r="G361" t="s">
        <v>39</v>
      </c>
      <c r="H361">
        <v>2023</v>
      </c>
      <c r="I361" t="s">
        <v>271</v>
      </c>
      <c r="J361"/>
      <c r="K361"/>
      <c r="L361"/>
      <c r="M361">
        <v>2023</v>
      </c>
      <c r="N361"/>
      <c r="O361" t="s">
        <v>45</v>
      </c>
      <c r="P361"/>
      <c r="Q361" t="s">
        <v>1390</v>
      </c>
      <c r="R361" t="s">
        <v>661</v>
      </c>
      <c r="S361">
        <v>5.53</v>
      </c>
    </row>
    <row r="362" spans="1:19" s="7" customFormat="1" x14ac:dyDescent="0.3">
      <c r="A362" t="s">
        <v>557</v>
      </c>
      <c r="B362"/>
      <c r="C362" t="s">
        <v>558</v>
      </c>
      <c r="D362" t="s">
        <v>36</v>
      </c>
      <c r="E362" t="s">
        <v>37</v>
      </c>
      <c r="F362" t="s">
        <v>38</v>
      </c>
      <c r="G362" t="s">
        <v>39</v>
      </c>
      <c r="H362">
        <v>2023</v>
      </c>
      <c r="I362" t="s">
        <v>271</v>
      </c>
      <c r="J362"/>
      <c r="K362"/>
      <c r="L362"/>
      <c r="M362">
        <v>2023</v>
      </c>
      <c r="N362"/>
      <c r="O362" t="s">
        <v>45</v>
      </c>
      <c r="P362"/>
      <c r="Q362" t="s">
        <v>1397</v>
      </c>
      <c r="R362" t="s">
        <v>662</v>
      </c>
      <c r="S362">
        <v>0.26</v>
      </c>
    </row>
    <row r="363" spans="1:19" s="7" customFormat="1" x14ac:dyDescent="0.3">
      <c r="A363" t="s">
        <v>557</v>
      </c>
      <c r="B363"/>
      <c r="C363" t="s">
        <v>558</v>
      </c>
      <c r="D363" t="s">
        <v>36</v>
      </c>
      <c r="E363" t="s">
        <v>37</v>
      </c>
      <c r="F363" t="s">
        <v>38</v>
      </c>
      <c r="G363" t="s">
        <v>39</v>
      </c>
      <c r="H363">
        <v>2023</v>
      </c>
      <c r="I363" t="s">
        <v>271</v>
      </c>
      <c r="J363"/>
      <c r="K363"/>
      <c r="L363"/>
      <c r="M363">
        <v>2023</v>
      </c>
      <c r="N363"/>
      <c r="O363" t="s">
        <v>45</v>
      </c>
      <c r="P363"/>
      <c r="Q363"/>
      <c r="R363" s="64" t="s">
        <v>663</v>
      </c>
      <c r="S363" s="65">
        <f>SUM(S355:S362)</f>
        <v>28.740000000000006</v>
      </c>
    </row>
    <row r="364" spans="1:19" s="7" customFormat="1" x14ac:dyDescent="0.3">
      <c r="A364" t="s">
        <v>557</v>
      </c>
      <c r="B364"/>
      <c r="C364" t="s">
        <v>558</v>
      </c>
      <c r="D364" t="s">
        <v>36</v>
      </c>
      <c r="E364" t="s">
        <v>37</v>
      </c>
      <c r="F364" t="s">
        <v>38</v>
      </c>
      <c r="G364" t="s">
        <v>39</v>
      </c>
      <c r="H364">
        <v>2023</v>
      </c>
      <c r="I364" t="s">
        <v>271</v>
      </c>
      <c r="J364"/>
      <c r="K364"/>
      <c r="L364"/>
      <c r="M364">
        <v>2023</v>
      </c>
      <c r="N364"/>
      <c r="O364" t="s">
        <v>45</v>
      </c>
      <c r="P364"/>
      <c r="Q364" t="s">
        <v>1385</v>
      </c>
      <c r="R364" t="s">
        <v>664</v>
      </c>
      <c r="S364">
        <v>6.66</v>
      </c>
    </row>
    <row r="365" spans="1:19" s="7" customFormat="1" x14ac:dyDescent="0.3">
      <c r="A365" t="s">
        <v>557</v>
      </c>
      <c r="B365"/>
      <c r="C365" t="s">
        <v>558</v>
      </c>
      <c r="D365" t="s">
        <v>36</v>
      </c>
      <c r="E365" t="s">
        <v>37</v>
      </c>
      <c r="F365" t="s">
        <v>38</v>
      </c>
      <c r="G365" t="s">
        <v>39</v>
      </c>
      <c r="H365">
        <v>2023</v>
      </c>
      <c r="I365" t="s">
        <v>271</v>
      </c>
      <c r="J365"/>
      <c r="K365"/>
      <c r="L365"/>
      <c r="M365">
        <v>2023</v>
      </c>
      <c r="N365"/>
      <c r="O365" t="s">
        <v>45</v>
      </c>
      <c r="P365"/>
      <c r="Q365" t="s">
        <v>1385</v>
      </c>
      <c r="R365" t="s">
        <v>665</v>
      </c>
      <c r="S365">
        <v>0.64</v>
      </c>
    </row>
    <row r="366" spans="1:19" s="7" customFormat="1" x14ac:dyDescent="0.3">
      <c r="A366" t="s">
        <v>557</v>
      </c>
      <c r="B366"/>
      <c r="C366" t="s">
        <v>558</v>
      </c>
      <c r="D366" t="s">
        <v>36</v>
      </c>
      <c r="E366" t="s">
        <v>37</v>
      </c>
      <c r="F366" t="s">
        <v>38</v>
      </c>
      <c r="G366" t="s">
        <v>39</v>
      </c>
      <c r="H366">
        <v>2023</v>
      </c>
      <c r="I366" t="s">
        <v>271</v>
      </c>
      <c r="J366"/>
      <c r="K366"/>
      <c r="L366"/>
      <c r="M366">
        <v>2023</v>
      </c>
      <c r="N366"/>
      <c r="O366" t="s">
        <v>45</v>
      </c>
      <c r="P366"/>
      <c r="Q366" t="s">
        <v>1386</v>
      </c>
      <c r="R366" t="s">
        <v>666</v>
      </c>
      <c r="S366">
        <v>4.26</v>
      </c>
    </row>
    <row r="367" spans="1:19" s="7" customFormat="1" x14ac:dyDescent="0.3">
      <c r="A367" t="s">
        <v>557</v>
      </c>
      <c r="B367"/>
      <c r="C367" t="s">
        <v>558</v>
      </c>
      <c r="D367" t="s">
        <v>36</v>
      </c>
      <c r="E367" t="s">
        <v>37</v>
      </c>
      <c r="F367" t="s">
        <v>38</v>
      </c>
      <c r="G367" t="s">
        <v>39</v>
      </c>
      <c r="H367">
        <v>2023</v>
      </c>
      <c r="I367" t="s">
        <v>271</v>
      </c>
      <c r="J367"/>
      <c r="K367"/>
      <c r="L367"/>
      <c r="M367">
        <v>2023</v>
      </c>
      <c r="N367"/>
      <c r="O367" t="s">
        <v>45</v>
      </c>
      <c r="P367"/>
      <c r="Q367" t="s">
        <v>1387</v>
      </c>
      <c r="R367" t="s">
        <v>667</v>
      </c>
      <c r="S367">
        <v>1.26</v>
      </c>
    </row>
    <row r="368" spans="1:19" s="7" customFormat="1" x14ac:dyDescent="0.3">
      <c r="A368" t="s">
        <v>557</v>
      </c>
      <c r="B368"/>
      <c r="C368" t="s">
        <v>558</v>
      </c>
      <c r="D368" t="s">
        <v>36</v>
      </c>
      <c r="E368" t="s">
        <v>37</v>
      </c>
      <c r="F368" t="s">
        <v>38</v>
      </c>
      <c r="G368" t="s">
        <v>39</v>
      </c>
      <c r="H368">
        <v>2023</v>
      </c>
      <c r="I368" t="s">
        <v>271</v>
      </c>
      <c r="J368"/>
      <c r="K368"/>
      <c r="L368"/>
      <c r="M368">
        <v>2023</v>
      </c>
      <c r="N368"/>
      <c r="O368" t="s">
        <v>45</v>
      </c>
      <c r="P368"/>
      <c r="Q368" t="s">
        <v>1388</v>
      </c>
      <c r="R368" t="s">
        <v>668</v>
      </c>
      <c r="S368">
        <v>10.5</v>
      </c>
    </row>
    <row r="369" spans="1:19" s="7" customFormat="1" x14ac:dyDescent="0.3">
      <c r="A369" t="s">
        <v>557</v>
      </c>
      <c r="B369"/>
      <c r="C369" t="s">
        <v>558</v>
      </c>
      <c r="D369" t="s">
        <v>36</v>
      </c>
      <c r="E369" t="s">
        <v>37</v>
      </c>
      <c r="F369" t="s">
        <v>38</v>
      </c>
      <c r="G369" t="s">
        <v>39</v>
      </c>
      <c r="H369">
        <v>2023</v>
      </c>
      <c r="I369" t="s">
        <v>271</v>
      </c>
      <c r="J369"/>
      <c r="K369"/>
      <c r="L369"/>
      <c r="M369">
        <v>2023</v>
      </c>
      <c r="N369"/>
      <c r="O369" t="s">
        <v>45</v>
      </c>
      <c r="P369"/>
      <c r="Q369" t="s">
        <v>1389</v>
      </c>
      <c r="R369" t="s">
        <v>669</v>
      </c>
      <c r="S369">
        <v>0.15</v>
      </c>
    </row>
    <row r="370" spans="1:19" s="7" customFormat="1" x14ac:dyDescent="0.3">
      <c r="A370" t="s">
        <v>557</v>
      </c>
      <c r="B370"/>
      <c r="C370" t="s">
        <v>558</v>
      </c>
      <c r="D370" t="s">
        <v>36</v>
      </c>
      <c r="E370" t="s">
        <v>37</v>
      </c>
      <c r="F370" t="s">
        <v>38</v>
      </c>
      <c r="G370" t="s">
        <v>39</v>
      </c>
      <c r="H370">
        <v>2023</v>
      </c>
      <c r="I370" t="s">
        <v>271</v>
      </c>
      <c r="J370"/>
      <c r="K370"/>
      <c r="L370"/>
      <c r="M370">
        <v>2023</v>
      </c>
      <c r="N370"/>
      <c r="O370" t="s">
        <v>45</v>
      </c>
      <c r="P370"/>
      <c r="Q370" t="s">
        <v>1390</v>
      </c>
      <c r="R370" t="s">
        <v>670</v>
      </c>
      <c r="S370">
        <v>7.38</v>
      </c>
    </row>
    <row r="371" spans="1:19" s="7" customFormat="1" x14ac:dyDescent="0.3">
      <c r="A371" t="s">
        <v>557</v>
      </c>
      <c r="B371"/>
      <c r="C371" t="s">
        <v>558</v>
      </c>
      <c r="D371" t="s">
        <v>36</v>
      </c>
      <c r="E371" t="s">
        <v>37</v>
      </c>
      <c r="F371" t="s">
        <v>38</v>
      </c>
      <c r="G371" t="s">
        <v>39</v>
      </c>
      <c r="H371">
        <v>2023</v>
      </c>
      <c r="I371" t="s">
        <v>271</v>
      </c>
      <c r="J371"/>
      <c r="K371"/>
      <c r="L371"/>
      <c r="M371">
        <v>2023</v>
      </c>
      <c r="N371"/>
      <c r="O371" t="s">
        <v>45</v>
      </c>
      <c r="P371"/>
      <c r="Q371" t="s">
        <v>1398</v>
      </c>
      <c r="R371" t="s">
        <v>671</v>
      </c>
      <c r="S371">
        <v>0.33</v>
      </c>
    </row>
    <row r="372" spans="1:19" s="7" customFormat="1" x14ac:dyDescent="0.3">
      <c r="A372" t="s">
        <v>557</v>
      </c>
      <c r="B372"/>
      <c r="C372" t="s">
        <v>558</v>
      </c>
      <c r="D372" t="s">
        <v>36</v>
      </c>
      <c r="E372" t="s">
        <v>37</v>
      </c>
      <c r="F372" t="s">
        <v>38</v>
      </c>
      <c r="G372" t="s">
        <v>39</v>
      </c>
      <c r="H372">
        <v>2023</v>
      </c>
      <c r="I372" t="s">
        <v>271</v>
      </c>
      <c r="J372"/>
      <c r="K372"/>
      <c r="L372"/>
      <c r="M372">
        <v>2023</v>
      </c>
      <c r="N372"/>
      <c r="O372" t="s">
        <v>45</v>
      </c>
      <c r="P372"/>
      <c r="Q372"/>
      <c r="R372" s="64" t="s">
        <v>672</v>
      </c>
      <c r="S372" s="65">
        <f>SUM(S364:S371)</f>
        <v>31.179999999999996</v>
      </c>
    </row>
    <row r="373" spans="1:19" s="7" customFormat="1" x14ac:dyDescent="0.3">
      <c r="A373" t="s">
        <v>557</v>
      </c>
      <c r="B373"/>
      <c r="C373" t="s">
        <v>558</v>
      </c>
      <c r="D373" t="s">
        <v>36</v>
      </c>
      <c r="E373" t="s">
        <v>37</v>
      </c>
      <c r="F373" t="s">
        <v>38</v>
      </c>
      <c r="G373" t="s">
        <v>39</v>
      </c>
      <c r="H373">
        <v>2023</v>
      </c>
      <c r="I373" t="s">
        <v>271</v>
      </c>
      <c r="J373"/>
      <c r="K373"/>
      <c r="L373"/>
      <c r="M373">
        <v>2023</v>
      </c>
      <c r="N373"/>
      <c r="O373" t="s">
        <v>45</v>
      </c>
      <c r="P373"/>
      <c r="Q373" t="s">
        <v>1385</v>
      </c>
      <c r="R373" t="s">
        <v>673</v>
      </c>
      <c r="S373">
        <v>6.18</v>
      </c>
    </row>
    <row r="374" spans="1:19" s="7" customFormat="1" x14ac:dyDescent="0.3">
      <c r="A374" t="s">
        <v>557</v>
      </c>
      <c r="B374"/>
      <c r="C374" t="s">
        <v>558</v>
      </c>
      <c r="D374" t="s">
        <v>36</v>
      </c>
      <c r="E374" t="s">
        <v>37</v>
      </c>
      <c r="F374" t="s">
        <v>38</v>
      </c>
      <c r="G374" t="s">
        <v>39</v>
      </c>
      <c r="H374">
        <v>2023</v>
      </c>
      <c r="I374" t="s">
        <v>271</v>
      </c>
      <c r="J374"/>
      <c r="K374"/>
      <c r="L374"/>
      <c r="M374">
        <v>2023</v>
      </c>
      <c r="N374"/>
      <c r="O374" t="s">
        <v>45</v>
      </c>
      <c r="P374"/>
      <c r="Q374" t="s">
        <v>1385</v>
      </c>
      <c r="R374" t="s">
        <v>674</v>
      </c>
      <c r="S374">
        <v>0.65</v>
      </c>
    </row>
    <row r="375" spans="1:19" s="7" customFormat="1" x14ac:dyDescent="0.3">
      <c r="A375" t="s">
        <v>557</v>
      </c>
      <c r="B375"/>
      <c r="C375" t="s">
        <v>558</v>
      </c>
      <c r="D375" t="s">
        <v>36</v>
      </c>
      <c r="E375" t="s">
        <v>37</v>
      </c>
      <c r="F375" t="s">
        <v>38</v>
      </c>
      <c r="G375" t="s">
        <v>39</v>
      </c>
      <c r="H375">
        <v>2023</v>
      </c>
      <c r="I375" t="s">
        <v>271</v>
      </c>
      <c r="J375"/>
      <c r="K375"/>
      <c r="L375"/>
      <c r="M375">
        <v>2023</v>
      </c>
      <c r="N375"/>
      <c r="O375" t="s">
        <v>45</v>
      </c>
      <c r="P375"/>
      <c r="Q375" t="s">
        <v>1386</v>
      </c>
      <c r="R375" t="s">
        <v>675</v>
      </c>
      <c r="S375">
        <v>4.04</v>
      </c>
    </row>
    <row r="376" spans="1:19" s="7" customFormat="1" x14ac:dyDescent="0.3">
      <c r="A376" t="s">
        <v>557</v>
      </c>
      <c r="B376"/>
      <c r="C376" t="s">
        <v>558</v>
      </c>
      <c r="D376" t="s">
        <v>36</v>
      </c>
      <c r="E376" t="s">
        <v>37</v>
      </c>
      <c r="F376" t="s">
        <v>38</v>
      </c>
      <c r="G376" t="s">
        <v>39</v>
      </c>
      <c r="H376">
        <v>2023</v>
      </c>
      <c r="I376" t="s">
        <v>271</v>
      </c>
      <c r="J376"/>
      <c r="K376"/>
      <c r="L376"/>
      <c r="M376">
        <v>2023</v>
      </c>
      <c r="N376"/>
      <c r="O376" t="s">
        <v>45</v>
      </c>
      <c r="P376"/>
      <c r="Q376" t="s">
        <v>1387</v>
      </c>
      <c r="R376" t="s">
        <v>676</v>
      </c>
      <c r="S376">
        <v>1.27</v>
      </c>
    </row>
    <row r="377" spans="1:19" s="7" customFormat="1" x14ac:dyDescent="0.3">
      <c r="A377" t="s">
        <v>557</v>
      </c>
      <c r="B377"/>
      <c r="C377" t="s">
        <v>558</v>
      </c>
      <c r="D377" t="s">
        <v>36</v>
      </c>
      <c r="E377" t="s">
        <v>37</v>
      </c>
      <c r="F377" t="s">
        <v>38</v>
      </c>
      <c r="G377" t="s">
        <v>39</v>
      </c>
      <c r="H377">
        <v>2023</v>
      </c>
      <c r="I377" t="s">
        <v>271</v>
      </c>
      <c r="J377"/>
      <c r="K377"/>
      <c r="L377"/>
      <c r="M377">
        <v>2023</v>
      </c>
      <c r="N377"/>
      <c r="O377" t="s">
        <v>45</v>
      </c>
      <c r="P377"/>
      <c r="Q377" t="s">
        <v>1388</v>
      </c>
      <c r="R377" t="s">
        <v>677</v>
      </c>
      <c r="S377">
        <v>10.98</v>
      </c>
    </row>
    <row r="378" spans="1:19" s="7" customFormat="1" x14ac:dyDescent="0.3">
      <c r="A378" t="s">
        <v>557</v>
      </c>
      <c r="B378"/>
      <c r="C378" t="s">
        <v>558</v>
      </c>
      <c r="D378" t="s">
        <v>36</v>
      </c>
      <c r="E378" t="s">
        <v>37</v>
      </c>
      <c r="F378" t="s">
        <v>38</v>
      </c>
      <c r="G378" t="s">
        <v>39</v>
      </c>
      <c r="H378">
        <v>2023</v>
      </c>
      <c r="I378" t="s">
        <v>271</v>
      </c>
      <c r="J378"/>
      <c r="K378"/>
      <c r="L378"/>
      <c r="M378">
        <v>2023</v>
      </c>
      <c r="N378"/>
      <c r="O378" t="s">
        <v>45</v>
      </c>
      <c r="P378"/>
      <c r="Q378" t="s">
        <v>1389</v>
      </c>
      <c r="R378" t="s">
        <v>678</v>
      </c>
      <c r="S378">
        <v>0.23</v>
      </c>
    </row>
    <row r="379" spans="1:19" s="7" customFormat="1" x14ac:dyDescent="0.3">
      <c r="A379" t="s">
        <v>557</v>
      </c>
      <c r="B379"/>
      <c r="C379" t="s">
        <v>558</v>
      </c>
      <c r="D379" t="s">
        <v>36</v>
      </c>
      <c r="E379" t="s">
        <v>37</v>
      </c>
      <c r="F379" t="s">
        <v>38</v>
      </c>
      <c r="G379" t="s">
        <v>39</v>
      </c>
      <c r="H379">
        <v>2023</v>
      </c>
      <c r="I379" t="s">
        <v>271</v>
      </c>
      <c r="J379"/>
      <c r="K379"/>
      <c r="L379"/>
      <c r="M379">
        <v>2023</v>
      </c>
      <c r="N379"/>
      <c r="O379" t="s">
        <v>45</v>
      </c>
      <c r="P379"/>
      <c r="Q379" t="s">
        <v>1390</v>
      </c>
      <c r="R379" t="s">
        <v>679</v>
      </c>
      <c r="S379">
        <v>10.24</v>
      </c>
    </row>
    <row r="380" spans="1:19" s="7" customFormat="1" x14ac:dyDescent="0.3">
      <c r="A380" t="s">
        <v>557</v>
      </c>
      <c r="B380"/>
      <c r="C380" t="s">
        <v>558</v>
      </c>
      <c r="D380" t="s">
        <v>36</v>
      </c>
      <c r="E380" t="s">
        <v>37</v>
      </c>
      <c r="F380" t="s">
        <v>38</v>
      </c>
      <c r="G380" t="s">
        <v>39</v>
      </c>
      <c r="H380">
        <v>2023</v>
      </c>
      <c r="I380" t="s">
        <v>271</v>
      </c>
      <c r="J380"/>
      <c r="K380"/>
      <c r="L380"/>
      <c r="M380">
        <v>2023</v>
      </c>
      <c r="N380"/>
      <c r="O380" t="s">
        <v>45</v>
      </c>
      <c r="P380"/>
      <c r="Q380" t="s">
        <v>1399</v>
      </c>
      <c r="R380" t="s">
        <v>680</v>
      </c>
      <c r="S380">
        <v>0.23</v>
      </c>
    </row>
    <row r="381" spans="1:19" s="7" customFormat="1" x14ac:dyDescent="0.3">
      <c r="A381" t="s">
        <v>557</v>
      </c>
      <c r="B381"/>
      <c r="C381" t="s">
        <v>558</v>
      </c>
      <c r="D381" t="s">
        <v>36</v>
      </c>
      <c r="E381" t="s">
        <v>37</v>
      </c>
      <c r="F381" t="s">
        <v>38</v>
      </c>
      <c r="G381" t="s">
        <v>39</v>
      </c>
      <c r="H381">
        <v>2023</v>
      </c>
      <c r="I381" t="s">
        <v>271</v>
      </c>
      <c r="J381"/>
      <c r="K381"/>
      <c r="L381"/>
      <c r="M381">
        <v>2023</v>
      </c>
      <c r="N381"/>
      <c r="O381" t="s">
        <v>45</v>
      </c>
      <c r="P381"/>
      <c r="Q381"/>
      <c r="R381" s="64" t="s">
        <v>681</v>
      </c>
      <c r="S381" s="65">
        <f>SUM(S373:S380)</f>
        <v>33.82</v>
      </c>
    </row>
    <row r="382" spans="1:19" s="7" customFormat="1" x14ac:dyDescent="0.3">
      <c r="A382" t="s">
        <v>557</v>
      </c>
      <c r="B382"/>
      <c r="C382" t="s">
        <v>558</v>
      </c>
      <c r="D382" t="s">
        <v>36</v>
      </c>
      <c r="E382" t="s">
        <v>37</v>
      </c>
      <c r="F382" t="s">
        <v>38</v>
      </c>
      <c r="G382" t="s">
        <v>39</v>
      </c>
      <c r="H382">
        <v>2023</v>
      </c>
      <c r="I382" t="s">
        <v>271</v>
      </c>
      <c r="J382"/>
      <c r="K382"/>
      <c r="L382"/>
      <c r="M382">
        <v>2023</v>
      </c>
      <c r="N382"/>
      <c r="O382" t="s">
        <v>45</v>
      </c>
      <c r="P382"/>
      <c r="Q382" t="s">
        <v>1385</v>
      </c>
      <c r="R382" t="s">
        <v>682</v>
      </c>
      <c r="S382">
        <v>4.1399999999999997</v>
      </c>
    </row>
    <row r="383" spans="1:19" s="7" customFormat="1" x14ac:dyDescent="0.3">
      <c r="A383" t="s">
        <v>557</v>
      </c>
      <c r="B383"/>
      <c r="C383" t="s">
        <v>558</v>
      </c>
      <c r="D383" t="s">
        <v>36</v>
      </c>
      <c r="E383" t="s">
        <v>37</v>
      </c>
      <c r="F383" t="s">
        <v>38</v>
      </c>
      <c r="G383" t="s">
        <v>39</v>
      </c>
      <c r="H383">
        <v>2023</v>
      </c>
      <c r="I383" t="s">
        <v>271</v>
      </c>
      <c r="J383"/>
      <c r="K383"/>
      <c r="L383"/>
      <c r="M383">
        <v>2023</v>
      </c>
      <c r="N383"/>
      <c r="O383" t="s">
        <v>45</v>
      </c>
      <c r="P383"/>
      <c r="Q383" t="s">
        <v>1385</v>
      </c>
      <c r="R383" t="s">
        <v>683</v>
      </c>
      <c r="S383">
        <v>0.57999999999999996</v>
      </c>
    </row>
    <row r="384" spans="1:19" s="7" customFormat="1" x14ac:dyDescent="0.3">
      <c r="A384" t="s">
        <v>557</v>
      </c>
      <c r="B384"/>
      <c r="C384" t="s">
        <v>558</v>
      </c>
      <c r="D384" t="s">
        <v>36</v>
      </c>
      <c r="E384" t="s">
        <v>37</v>
      </c>
      <c r="F384" t="s">
        <v>38</v>
      </c>
      <c r="G384" t="s">
        <v>39</v>
      </c>
      <c r="H384">
        <v>2023</v>
      </c>
      <c r="I384" t="s">
        <v>271</v>
      </c>
      <c r="J384"/>
      <c r="K384"/>
      <c r="L384"/>
      <c r="M384">
        <v>2023</v>
      </c>
      <c r="N384"/>
      <c r="O384" t="s">
        <v>45</v>
      </c>
      <c r="P384"/>
      <c r="Q384" t="s">
        <v>1386</v>
      </c>
      <c r="R384" t="s">
        <v>684</v>
      </c>
      <c r="S384">
        <v>3.52</v>
      </c>
    </row>
    <row r="385" spans="1:19" s="7" customFormat="1" x14ac:dyDescent="0.3">
      <c r="A385" t="s">
        <v>557</v>
      </c>
      <c r="B385"/>
      <c r="C385" t="s">
        <v>558</v>
      </c>
      <c r="D385" t="s">
        <v>36</v>
      </c>
      <c r="E385" t="s">
        <v>37</v>
      </c>
      <c r="F385" t="s">
        <v>38</v>
      </c>
      <c r="G385" t="s">
        <v>39</v>
      </c>
      <c r="H385">
        <v>2023</v>
      </c>
      <c r="I385" t="s">
        <v>271</v>
      </c>
      <c r="J385"/>
      <c r="K385"/>
      <c r="L385"/>
      <c r="M385">
        <v>2023</v>
      </c>
      <c r="N385"/>
      <c r="O385" t="s">
        <v>45</v>
      </c>
      <c r="P385"/>
      <c r="Q385" t="s">
        <v>1387</v>
      </c>
      <c r="R385" t="s">
        <v>685</v>
      </c>
      <c r="S385">
        <v>1.1399999999999999</v>
      </c>
    </row>
    <row r="386" spans="1:19" s="7" customFormat="1" x14ac:dyDescent="0.3">
      <c r="A386" t="s">
        <v>557</v>
      </c>
      <c r="B386"/>
      <c r="C386" t="s">
        <v>558</v>
      </c>
      <c r="D386" t="s">
        <v>36</v>
      </c>
      <c r="E386" t="s">
        <v>37</v>
      </c>
      <c r="F386" t="s">
        <v>38</v>
      </c>
      <c r="G386" t="s">
        <v>39</v>
      </c>
      <c r="H386">
        <v>2023</v>
      </c>
      <c r="I386" t="s">
        <v>271</v>
      </c>
      <c r="J386"/>
      <c r="K386"/>
      <c r="L386"/>
      <c r="M386">
        <v>2023</v>
      </c>
      <c r="N386"/>
      <c r="O386" t="s">
        <v>45</v>
      </c>
      <c r="P386"/>
      <c r="Q386" t="s">
        <v>1388</v>
      </c>
      <c r="R386" t="s">
        <v>686</v>
      </c>
      <c r="S386">
        <v>9.08</v>
      </c>
    </row>
    <row r="387" spans="1:19" s="7" customFormat="1" x14ac:dyDescent="0.3">
      <c r="A387" t="s">
        <v>557</v>
      </c>
      <c r="B387"/>
      <c r="C387" t="s">
        <v>558</v>
      </c>
      <c r="D387" t="s">
        <v>36</v>
      </c>
      <c r="E387" t="s">
        <v>37</v>
      </c>
      <c r="F387" t="s">
        <v>38</v>
      </c>
      <c r="G387" t="s">
        <v>39</v>
      </c>
      <c r="H387">
        <v>2023</v>
      </c>
      <c r="I387" t="s">
        <v>271</v>
      </c>
      <c r="J387"/>
      <c r="K387"/>
      <c r="L387"/>
      <c r="M387">
        <v>2023</v>
      </c>
      <c r="N387"/>
      <c r="O387" t="s">
        <v>45</v>
      </c>
      <c r="P387"/>
      <c r="Q387" t="s">
        <v>1389</v>
      </c>
      <c r="R387" t="s">
        <v>687</v>
      </c>
      <c r="S387">
        <v>0.21</v>
      </c>
    </row>
    <row r="388" spans="1:19" s="7" customFormat="1" x14ac:dyDescent="0.3">
      <c r="A388" t="s">
        <v>557</v>
      </c>
      <c r="B388"/>
      <c r="C388" t="s">
        <v>558</v>
      </c>
      <c r="D388" t="s">
        <v>36</v>
      </c>
      <c r="E388" t="s">
        <v>37</v>
      </c>
      <c r="F388" t="s">
        <v>38</v>
      </c>
      <c r="G388" t="s">
        <v>39</v>
      </c>
      <c r="H388">
        <v>2023</v>
      </c>
      <c r="I388" t="s">
        <v>271</v>
      </c>
      <c r="J388"/>
      <c r="K388"/>
      <c r="L388"/>
      <c r="M388">
        <v>2023</v>
      </c>
      <c r="N388"/>
      <c r="O388" t="s">
        <v>45</v>
      </c>
      <c r="P388"/>
      <c r="Q388" t="s">
        <v>1390</v>
      </c>
      <c r="R388" t="s">
        <v>688</v>
      </c>
      <c r="S388">
        <v>12.83</v>
      </c>
    </row>
    <row r="389" spans="1:19" s="7" customFormat="1" x14ac:dyDescent="0.3">
      <c r="A389" t="s">
        <v>557</v>
      </c>
      <c r="B389"/>
      <c r="C389" t="s">
        <v>558</v>
      </c>
      <c r="D389" t="s">
        <v>36</v>
      </c>
      <c r="E389" t="s">
        <v>37</v>
      </c>
      <c r="F389" t="s">
        <v>38</v>
      </c>
      <c r="G389" t="s">
        <v>39</v>
      </c>
      <c r="H389">
        <v>2023</v>
      </c>
      <c r="I389" t="s">
        <v>271</v>
      </c>
      <c r="J389"/>
      <c r="K389"/>
      <c r="L389"/>
      <c r="M389">
        <v>2023</v>
      </c>
      <c r="N389"/>
      <c r="O389" t="s">
        <v>45</v>
      </c>
      <c r="P389"/>
      <c r="Q389" t="s">
        <v>1400</v>
      </c>
      <c r="R389" t="s">
        <v>689</v>
      </c>
      <c r="S389">
        <v>0.3</v>
      </c>
    </row>
    <row r="390" spans="1:19" s="7" customFormat="1" x14ac:dyDescent="0.3">
      <c r="A390" t="s">
        <v>557</v>
      </c>
      <c r="B390"/>
      <c r="C390" t="s">
        <v>558</v>
      </c>
      <c r="D390" t="s">
        <v>36</v>
      </c>
      <c r="E390" t="s">
        <v>37</v>
      </c>
      <c r="F390" t="s">
        <v>38</v>
      </c>
      <c r="G390" t="s">
        <v>39</v>
      </c>
      <c r="H390">
        <v>2023</v>
      </c>
      <c r="I390" t="s">
        <v>271</v>
      </c>
      <c r="J390"/>
      <c r="K390"/>
      <c r="L390"/>
      <c r="M390">
        <v>2023</v>
      </c>
      <c r="N390"/>
      <c r="O390" t="s">
        <v>45</v>
      </c>
      <c r="P390"/>
      <c r="Q390"/>
      <c r="R390" s="64" t="s">
        <v>690</v>
      </c>
      <c r="S390" s="65">
        <f>SUM(S382:S389)</f>
        <v>31.8</v>
      </c>
    </row>
    <row r="391" spans="1:19" s="7" customFormat="1" x14ac:dyDescent="0.3">
      <c r="A391" t="s">
        <v>557</v>
      </c>
      <c r="B391"/>
      <c r="C391" t="s">
        <v>558</v>
      </c>
      <c r="D391" t="s">
        <v>36</v>
      </c>
      <c r="E391" t="s">
        <v>37</v>
      </c>
      <c r="F391" t="s">
        <v>38</v>
      </c>
      <c r="G391" t="s">
        <v>39</v>
      </c>
      <c r="H391">
        <v>2023</v>
      </c>
      <c r="I391" t="s">
        <v>271</v>
      </c>
      <c r="J391"/>
      <c r="K391"/>
      <c r="L391"/>
      <c r="M391">
        <v>2023</v>
      </c>
      <c r="N391"/>
      <c r="O391" t="s">
        <v>45</v>
      </c>
      <c r="P391"/>
      <c r="Q391" t="s">
        <v>1401</v>
      </c>
      <c r="R391" t="s">
        <v>691</v>
      </c>
      <c r="S391">
        <v>4.32</v>
      </c>
    </row>
    <row r="392" spans="1:19" s="7" customFormat="1" x14ac:dyDescent="0.3">
      <c r="A392" t="s">
        <v>557</v>
      </c>
      <c r="B392"/>
      <c r="C392" t="s">
        <v>558</v>
      </c>
      <c r="D392" t="s">
        <v>36</v>
      </c>
      <c r="E392" t="s">
        <v>37</v>
      </c>
      <c r="F392" t="s">
        <v>38</v>
      </c>
      <c r="G392" t="s">
        <v>39</v>
      </c>
      <c r="H392">
        <v>2023</v>
      </c>
      <c r="I392" t="s">
        <v>271</v>
      </c>
      <c r="J392"/>
      <c r="K392"/>
      <c r="L392"/>
      <c r="M392">
        <v>2023</v>
      </c>
      <c r="N392"/>
      <c r="O392" t="s">
        <v>45</v>
      </c>
      <c r="P392"/>
      <c r="Q392" t="s">
        <v>1402</v>
      </c>
      <c r="R392" t="s">
        <v>692</v>
      </c>
      <c r="S392">
        <v>0.68</v>
      </c>
    </row>
    <row r="393" spans="1:19" s="7" customFormat="1" x14ac:dyDescent="0.3">
      <c r="A393" t="s">
        <v>557</v>
      </c>
      <c r="B393"/>
      <c r="C393" t="s">
        <v>558</v>
      </c>
      <c r="D393" t="s">
        <v>36</v>
      </c>
      <c r="E393" t="s">
        <v>37</v>
      </c>
      <c r="F393" t="s">
        <v>38</v>
      </c>
      <c r="G393" t="s">
        <v>39</v>
      </c>
      <c r="H393">
        <v>2023</v>
      </c>
      <c r="I393" t="s">
        <v>271</v>
      </c>
      <c r="J393"/>
      <c r="K393"/>
      <c r="L393"/>
      <c r="M393">
        <v>2023</v>
      </c>
      <c r="N393"/>
      <c r="O393" t="s">
        <v>45</v>
      </c>
      <c r="P393"/>
      <c r="Q393" t="s">
        <v>1403</v>
      </c>
      <c r="R393" t="s">
        <v>693</v>
      </c>
      <c r="S393">
        <v>3.59</v>
      </c>
    </row>
    <row r="394" spans="1:19" s="7" customFormat="1" x14ac:dyDescent="0.3">
      <c r="A394" t="s">
        <v>557</v>
      </c>
      <c r="B394"/>
      <c r="C394" t="s">
        <v>558</v>
      </c>
      <c r="D394" t="s">
        <v>36</v>
      </c>
      <c r="E394" t="s">
        <v>37</v>
      </c>
      <c r="F394" t="s">
        <v>38</v>
      </c>
      <c r="G394" t="s">
        <v>39</v>
      </c>
      <c r="H394">
        <v>2023</v>
      </c>
      <c r="I394" t="s">
        <v>271</v>
      </c>
      <c r="J394"/>
      <c r="K394"/>
      <c r="L394"/>
      <c r="M394">
        <v>2023</v>
      </c>
      <c r="N394"/>
      <c r="O394" t="s">
        <v>45</v>
      </c>
      <c r="P394"/>
      <c r="Q394" t="s">
        <v>1404</v>
      </c>
      <c r="R394" t="s">
        <v>694</v>
      </c>
      <c r="S394">
        <v>0.85</v>
      </c>
    </row>
    <row r="395" spans="1:19" s="7" customFormat="1" x14ac:dyDescent="0.3">
      <c r="A395" t="s">
        <v>557</v>
      </c>
      <c r="B395"/>
      <c r="C395" t="s">
        <v>558</v>
      </c>
      <c r="D395" t="s">
        <v>36</v>
      </c>
      <c r="E395" t="s">
        <v>37</v>
      </c>
      <c r="F395" t="s">
        <v>38</v>
      </c>
      <c r="G395" t="s">
        <v>39</v>
      </c>
      <c r="H395">
        <v>2023</v>
      </c>
      <c r="I395" t="s">
        <v>271</v>
      </c>
      <c r="J395"/>
      <c r="K395"/>
      <c r="L395"/>
      <c r="M395">
        <v>2023</v>
      </c>
      <c r="N395"/>
      <c r="O395" t="s">
        <v>45</v>
      </c>
      <c r="P395"/>
      <c r="Q395" t="s">
        <v>1405</v>
      </c>
      <c r="R395" t="s">
        <v>695</v>
      </c>
      <c r="S395">
        <v>8.75</v>
      </c>
    </row>
    <row r="396" spans="1:19" s="7" customFormat="1" x14ac:dyDescent="0.3">
      <c r="A396" t="s">
        <v>557</v>
      </c>
      <c r="B396"/>
      <c r="C396" t="s">
        <v>558</v>
      </c>
      <c r="D396" t="s">
        <v>36</v>
      </c>
      <c r="E396" t="s">
        <v>37</v>
      </c>
      <c r="F396" t="s">
        <v>38</v>
      </c>
      <c r="G396" t="s">
        <v>39</v>
      </c>
      <c r="H396">
        <v>2023</v>
      </c>
      <c r="I396" t="s">
        <v>271</v>
      </c>
      <c r="J396"/>
      <c r="K396"/>
      <c r="L396"/>
      <c r="M396">
        <v>2023</v>
      </c>
      <c r="N396"/>
      <c r="O396" t="s">
        <v>45</v>
      </c>
      <c r="P396"/>
      <c r="Q396" t="s">
        <v>1406</v>
      </c>
      <c r="R396" t="s">
        <v>696</v>
      </c>
      <c r="S396">
        <v>0.23</v>
      </c>
    </row>
    <row r="397" spans="1:19" s="7" customFormat="1" x14ac:dyDescent="0.3">
      <c r="A397" t="s">
        <v>557</v>
      </c>
      <c r="B397"/>
      <c r="C397" t="s">
        <v>558</v>
      </c>
      <c r="D397" t="s">
        <v>36</v>
      </c>
      <c r="E397" t="s">
        <v>37</v>
      </c>
      <c r="F397" t="s">
        <v>38</v>
      </c>
      <c r="G397" t="s">
        <v>39</v>
      </c>
      <c r="H397">
        <v>2023</v>
      </c>
      <c r="I397" t="s">
        <v>271</v>
      </c>
      <c r="J397"/>
      <c r="K397"/>
      <c r="L397"/>
      <c r="M397">
        <v>2023</v>
      </c>
      <c r="N397"/>
      <c r="O397" t="s">
        <v>45</v>
      </c>
      <c r="P397"/>
      <c r="Q397" t="s">
        <v>1407</v>
      </c>
      <c r="R397" t="s">
        <v>697</v>
      </c>
      <c r="S397">
        <v>8.33</v>
      </c>
    </row>
    <row r="398" spans="1:19" s="7" customFormat="1" x14ac:dyDescent="0.3">
      <c r="A398" t="s">
        <v>557</v>
      </c>
      <c r="B398"/>
      <c r="C398" t="s">
        <v>558</v>
      </c>
      <c r="D398" t="s">
        <v>36</v>
      </c>
      <c r="E398" t="s">
        <v>37</v>
      </c>
      <c r="F398" t="s">
        <v>38</v>
      </c>
      <c r="G398" t="s">
        <v>39</v>
      </c>
      <c r="H398">
        <v>2023</v>
      </c>
      <c r="I398" t="s">
        <v>271</v>
      </c>
      <c r="J398"/>
      <c r="K398"/>
      <c r="L398"/>
      <c r="M398">
        <v>2023</v>
      </c>
      <c r="N398"/>
      <c r="O398" t="s">
        <v>45</v>
      </c>
      <c r="P398"/>
      <c r="Q398" t="s">
        <v>1408</v>
      </c>
      <c r="R398" t="s">
        <v>698</v>
      </c>
      <c r="S398">
        <v>0.36</v>
      </c>
    </row>
    <row r="399" spans="1:19" s="7" customFormat="1" x14ac:dyDescent="0.3">
      <c r="A399" t="s">
        <v>557</v>
      </c>
      <c r="B399"/>
      <c r="C399" t="s">
        <v>558</v>
      </c>
      <c r="D399" t="s">
        <v>36</v>
      </c>
      <c r="E399" t="s">
        <v>37</v>
      </c>
      <c r="F399" t="s">
        <v>38</v>
      </c>
      <c r="G399" t="s">
        <v>39</v>
      </c>
      <c r="H399">
        <v>2023</v>
      </c>
      <c r="I399" t="s">
        <v>271</v>
      </c>
      <c r="J399"/>
      <c r="K399"/>
      <c r="L399"/>
      <c r="M399">
        <v>2023</v>
      </c>
      <c r="N399"/>
      <c r="O399" t="s">
        <v>45</v>
      </c>
      <c r="P399"/>
      <c r="Q399"/>
      <c r="R399" s="64" t="s">
        <v>699</v>
      </c>
      <c r="S399" s="65">
        <f>SUM(S391:S398)</f>
        <v>27.11</v>
      </c>
    </row>
    <row r="400" spans="1:19" s="7" customFormat="1" x14ac:dyDescent="0.3">
      <c r="A400" t="s">
        <v>557</v>
      </c>
      <c r="B400"/>
      <c r="C400" t="s">
        <v>558</v>
      </c>
      <c r="D400" t="s">
        <v>36</v>
      </c>
      <c r="E400" t="s">
        <v>37</v>
      </c>
      <c r="F400" t="s">
        <v>38</v>
      </c>
      <c r="G400" t="s">
        <v>39</v>
      </c>
      <c r="H400">
        <v>2023</v>
      </c>
      <c r="I400" t="s">
        <v>271</v>
      </c>
      <c r="J400"/>
      <c r="K400"/>
      <c r="L400"/>
      <c r="M400">
        <v>2023</v>
      </c>
      <c r="N400"/>
      <c r="O400" t="s">
        <v>45</v>
      </c>
      <c r="P400"/>
      <c r="Q400" t="s">
        <v>1409</v>
      </c>
      <c r="R400" t="s">
        <v>700</v>
      </c>
      <c r="S400">
        <v>4.6399999999999997</v>
      </c>
    </row>
    <row r="401" spans="1:19" s="7" customFormat="1" x14ac:dyDescent="0.3">
      <c r="A401" t="s">
        <v>557</v>
      </c>
      <c r="B401"/>
      <c r="C401" t="s">
        <v>558</v>
      </c>
      <c r="D401" t="s">
        <v>36</v>
      </c>
      <c r="E401" t="s">
        <v>37</v>
      </c>
      <c r="F401" t="s">
        <v>38</v>
      </c>
      <c r="G401" t="s">
        <v>39</v>
      </c>
      <c r="H401">
        <v>2023</v>
      </c>
      <c r="I401" t="s">
        <v>271</v>
      </c>
      <c r="J401"/>
      <c r="K401"/>
      <c r="L401"/>
      <c r="M401">
        <v>2023</v>
      </c>
      <c r="N401"/>
      <c r="O401" t="s">
        <v>45</v>
      </c>
      <c r="P401"/>
      <c r="Q401" t="s">
        <v>1401</v>
      </c>
      <c r="R401" t="s">
        <v>701</v>
      </c>
      <c r="S401">
        <v>0.77</v>
      </c>
    </row>
    <row r="402" spans="1:19" s="7" customFormat="1" x14ac:dyDescent="0.3">
      <c r="A402" t="s">
        <v>557</v>
      </c>
      <c r="B402"/>
      <c r="C402" t="s">
        <v>558</v>
      </c>
      <c r="D402" t="s">
        <v>36</v>
      </c>
      <c r="E402" t="s">
        <v>37</v>
      </c>
      <c r="F402" t="s">
        <v>38</v>
      </c>
      <c r="G402" t="s">
        <v>39</v>
      </c>
      <c r="H402">
        <v>2023</v>
      </c>
      <c r="I402" t="s">
        <v>271</v>
      </c>
      <c r="J402"/>
      <c r="K402"/>
      <c r="L402"/>
      <c r="M402">
        <v>2023</v>
      </c>
      <c r="N402"/>
      <c r="O402" t="s">
        <v>45</v>
      </c>
      <c r="P402"/>
      <c r="Q402" t="s">
        <v>1410</v>
      </c>
      <c r="R402" t="s">
        <v>702</v>
      </c>
      <c r="S402">
        <v>3.58</v>
      </c>
    </row>
    <row r="403" spans="1:19" s="7" customFormat="1" x14ac:dyDescent="0.3">
      <c r="A403" t="s">
        <v>557</v>
      </c>
      <c r="B403"/>
      <c r="C403" t="s">
        <v>558</v>
      </c>
      <c r="D403" t="s">
        <v>36</v>
      </c>
      <c r="E403" t="s">
        <v>37</v>
      </c>
      <c r="F403" t="s">
        <v>38</v>
      </c>
      <c r="G403" t="s">
        <v>39</v>
      </c>
      <c r="H403">
        <v>2023</v>
      </c>
      <c r="I403" t="s">
        <v>271</v>
      </c>
      <c r="J403"/>
      <c r="K403"/>
      <c r="L403"/>
      <c r="M403">
        <v>2023</v>
      </c>
      <c r="N403"/>
      <c r="O403" t="s">
        <v>45</v>
      </c>
      <c r="P403"/>
      <c r="Q403" t="s">
        <v>1411</v>
      </c>
      <c r="R403" t="s">
        <v>703</v>
      </c>
      <c r="S403">
        <v>0.85</v>
      </c>
    </row>
    <row r="404" spans="1:19" s="7" customFormat="1" x14ac:dyDescent="0.3">
      <c r="A404" t="s">
        <v>557</v>
      </c>
      <c r="B404"/>
      <c r="C404" t="s">
        <v>558</v>
      </c>
      <c r="D404" t="s">
        <v>36</v>
      </c>
      <c r="E404" t="s">
        <v>37</v>
      </c>
      <c r="F404" t="s">
        <v>38</v>
      </c>
      <c r="G404" t="s">
        <v>39</v>
      </c>
      <c r="H404">
        <v>2023</v>
      </c>
      <c r="I404" t="s">
        <v>271</v>
      </c>
      <c r="J404"/>
      <c r="K404"/>
      <c r="L404"/>
      <c r="M404">
        <v>2023</v>
      </c>
      <c r="N404"/>
      <c r="O404" t="s">
        <v>45</v>
      </c>
      <c r="P404"/>
      <c r="Q404" t="s">
        <v>1412</v>
      </c>
      <c r="R404" t="s">
        <v>704</v>
      </c>
      <c r="S404">
        <v>8.84</v>
      </c>
    </row>
    <row r="405" spans="1:19" s="7" customFormat="1" x14ac:dyDescent="0.3">
      <c r="A405" t="s">
        <v>557</v>
      </c>
      <c r="B405"/>
      <c r="C405" t="s">
        <v>558</v>
      </c>
      <c r="D405" t="s">
        <v>36</v>
      </c>
      <c r="E405" t="s">
        <v>37</v>
      </c>
      <c r="F405" t="s">
        <v>38</v>
      </c>
      <c r="G405" t="s">
        <v>39</v>
      </c>
      <c r="H405">
        <v>2023</v>
      </c>
      <c r="I405" t="s">
        <v>271</v>
      </c>
      <c r="J405"/>
      <c r="K405"/>
      <c r="L405"/>
      <c r="M405">
        <v>2023</v>
      </c>
      <c r="N405"/>
      <c r="O405" t="s">
        <v>45</v>
      </c>
      <c r="P405"/>
      <c r="Q405" t="s">
        <v>1413</v>
      </c>
      <c r="R405" t="s">
        <v>705</v>
      </c>
      <c r="S405">
        <v>0.23</v>
      </c>
    </row>
    <row r="406" spans="1:19" s="7" customFormat="1" x14ac:dyDescent="0.3">
      <c r="A406" t="s">
        <v>557</v>
      </c>
      <c r="B406"/>
      <c r="C406" t="s">
        <v>558</v>
      </c>
      <c r="D406" t="s">
        <v>36</v>
      </c>
      <c r="E406" t="s">
        <v>37</v>
      </c>
      <c r="F406" t="s">
        <v>38</v>
      </c>
      <c r="G406" t="s">
        <v>39</v>
      </c>
      <c r="H406">
        <v>2023</v>
      </c>
      <c r="I406" t="s">
        <v>271</v>
      </c>
      <c r="J406"/>
      <c r="K406"/>
      <c r="L406"/>
      <c r="M406">
        <v>2023</v>
      </c>
      <c r="N406"/>
      <c r="O406" t="s">
        <v>45</v>
      </c>
      <c r="P406"/>
      <c r="Q406" t="s">
        <v>1414</v>
      </c>
      <c r="R406" t="s">
        <v>706</v>
      </c>
      <c r="S406">
        <v>7.58</v>
      </c>
    </row>
    <row r="407" spans="1:19" s="7" customFormat="1" x14ac:dyDescent="0.3">
      <c r="A407" t="s">
        <v>557</v>
      </c>
      <c r="B407"/>
      <c r="C407" t="s">
        <v>558</v>
      </c>
      <c r="D407" t="s">
        <v>36</v>
      </c>
      <c r="E407" t="s">
        <v>37</v>
      </c>
      <c r="F407" t="s">
        <v>38</v>
      </c>
      <c r="G407" t="s">
        <v>39</v>
      </c>
      <c r="H407">
        <v>2023</v>
      </c>
      <c r="I407" t="s">
        <v>271</v>
      </c>
      <c r="J407"/>
      <c r="K407"/>
      <c r="L407"/>
      <c r="M407">
        <v>2023</v>
      </c>
      <c r="N407"/>
      <c r="O407" t="s">
        <v>45</v>
      </c>
      <c r="P407"/>
      <c r="Q407" t="s">
        <v>1415</v>
      </c>
      <c r="R407" t="s">
        <v>707</v>
      </c>
      <c r="S407">
        <v>0.34</v>
      </c>
    </row>
    <row r="408" spans="1:19" s="7" customFormat="1" x14ac:dyDescent="0.3">
      <c r="A408" t="s">
        <v>557</v>
      </c>
      <c r="B408"/>
      <c r="C408" t="s">
        <v>558</v>
      </c>
      <c r="D408" t="s">
        <v>36</v>
      </c>
      <c r="E408" t="s">
        <v>37</v>
      </c>
      <c r="F408" t="s">
        <v>38</v>
      </c>
      <c r="G408" t="s">
        <v>39</v>
      </c>
      <c r="H408">
        <v>2023</v>
      </c>
      <c r="I408" t="s">
        <v>271</v>
      </c>
      <c r="J408"/>
      <c r="K408"/>
      <c r="L408"/>
      <c r="M408">
        <v>2023</v>
      </c>
      <c r="N408"/>
      <c r="O408" t="s">
        <v>45</v>
      </c>
      <c r="P408"/>
      <c r="Q408"/>
      <c r="R408" s="64" t="s">
        <v>708</v>
      </c>
      <c r="S408" s="64">
        <f>SUM(S400:S407)</f>
        <v>26.830000000000002</v>
      </c>
    </row>
    <row r="409" spans="1:19" s="7" customFormat="1" x14ac:dyDescent="0.3">
      <c r="A409" t="s">
        <v>557</v>
      </c>
      <c r="B409"/>
      <c r="C409" t="s">
        <v>558</v>
      </c>
      <c r="D409" t="s">
        <v>36</v>
      </c>
      <c r="E409" t="s">
        <v>37</v>
      </c>
      <c r="F409" t="s">
        <v>38</v>
      </c>
      <c r="G409" t="s">
        <v>39</v>
      </c>
      <c r="H409">
        <v>2023</v>
      </c>
      <c r="I409" t="s">
        <v>271</v>
      </c>
      <c r="J409"/>
      <c r="K409"/>
      <c r="L409"/>
      <c r="M409">
        <v>2023</v>
      </c>
      <c r="N409"/>
      <c r="O409" t="s">
        <v>45</v>
      </c>
      <c r="P409"/>
      <c r="Q409" t="s">
        <v>1416</v>
      </c>
      <c r="R409" s="64" t="s">
        <v>709</v>
      </c>
      <c r="S409" s="65">
        <f>((S309-S300)/S309)*100</f>
        <v>-9.5393543706927648</v>
      </c>
    </row>
    <row r="410" spans="1:19" s="7" customFormat="1" x14ac:dyDescent="0.3">
      <c r="A410" t="s">
        <v>557</v>
      </c>
      <c r="B410"/>
      <c r="C410" t="s">
        <v>558</v>
      </c>
      <c r="D410" t="s">
        <v>36</v>
      </c>
      <c r="E410" t="s">
        <v>37</v>
      </c>
      <c r="F410" t="s">
        <v>38</v>
      </c>
      <c r="G410" t="s">
        <v>39</v>
      </c>
      <c r="H410">
        <v>2023</v>
      </c>
      <c r="I410" t="s">
        <v>271</v>
      </c>
      <c r="J410"/>
      <c r="K410"/>
      <c r="L410"/>
      <c r="M410">
        <v>2023</v>
      </c>
      <c r="N410"/>
      <c r="O410" t="s">
        <v>45</v>
      </c>
      <c r="P410"/>
      <c r="Q410" t="s">
        <v>1417</v>
      </c>
      <c r="R410" s="64" t="s">
        <v>710</v>
      </c>
      <c r="S410" s="65">
        <f>((S318-S309)/S318)*100</f>
        <v>6.6373179817135144</v>
      </c>
    </row>
    <row r="411" spans="1:19" s="7" customFormat="1" x14ac:dyDescent="0.3">
      <c r="A411" t="s">
        <v>557</v>
      </c>
      <c r="B411"/>
      <c r="C411" t="s">
        <v>558</v>
      </c>
      <c r="D411" t="s">
        <v>36</v>
      </c>
      <c r="E411" t="s">
        <v>37</v>
      </c>
      <c r="F411" t="s">
        <v>38</v>
      </c>
      <c r="G411" t="s">
        <v>39</v>
      </c>
      <c r="H411">
        <v>2023</v>
      </c>
      <c r="I411" t="s">
        <v>271</v>
      </c>
      <c r="J411"/>
      <c r="K411"/>
      <c r="L411"/>
      <c r="M411">
        <v>2023</v>
      </c>
      <c r="N411"/>
      <c r="O411" t="s">
        <v>45</v>
      </c>
      <c r="P411"/>
      <c r="Q411" t="s">
        <v>1418</v>
      </c>
      <c r="R411" s="64" t="s">
        <v>711</v>
      </c>
      <c r="S411" s="65">
        <f>((S327-S318)/S327)*100</f>
        <v>10.650529500756438</v>
      </c>
    </row>
    <row r="412" spans="1:19" s="7" customFormat="1" x14ac:dyDescent="0.3">
      <c r="A412" t="s">
        <v>557</v>
      </c>
      <c r="B412"/>
      <c r="C412" t="s">
        <v>558</v>
      </c>
      <c r="D412" t="s">
        <v>36</v>
      </c>
      <c r="E412" t="s">
        <v>37</v>
      </c>
      <c r="F412" t="s">
        <v>38</v>
      </c>
      <c r="G412" t="s">
        <v>39</v>
      </c>
      <c r="H412">
        <v>2023</v>
      </c>
      <c r="I412" t="s">
        <v>271</v>
      </c>
      <c r="J412"/>
      <c r="K412"/>
      <c r="L412"/>
      <c r="M412">
        <v>2023</v>
      </c>
      <c r="N412"/>
      <c r="O412" t="s">
        <v>45</v>
      </c>
      <c r="P412"/>
      <c r="Q412" t="s">
        <v>1419</v>
      </c>
      <c r="R412" s="64" t="s">
        <v>712</v>
      </c>
      <c r="S412" s="65">
        <f>((S336-S327)/S336)*100</f>
        <v>2.0160094871034469</v>
      </c>
    </row>
    <row r="413" spans="1:19" s="7" customFormat="1" x14ac:dyDescent="0.3">
      <c r="A413" t="s">
        <v>557</v>
      </c>
      <c r="B413"/>
      <c r="C413" t="s">
        <v>558</v>
      </c>
      <c r="D413" t="s">
        <v>36</v>
      </c>
      <c r="E413" t="s">
        <v>37</v>
      </c>
      <c r="F413" t="s">
        <v>38</v>
      </c>
      <c r="G413" t="s">
        <v>39</v>
      </c>
      <c r="H413">
        <v>2023</v>
      </c>
      <c r="I413" t="s">
        <v>271</v>
      </c>
      <c r="J413"/>
      <c r="K413"/>
      <c r="L413"/>
      <c r="M413">
        <v>2023</v>
      </c>
      <c r="N413"/>
      <c r="O413" t="s">
        <v>45</v>
      </c>
      <c r="P413"/>
      <c r="Q413" t="s">
        <v>1420</v>
      </c>
      <c r="R413" s="64" t="s">
        <v>713</v>
      </c>
      <c r="S413" s="65">
        <f>((S345-S336)/S345)*100</f>
        <v>8.1176791065104812</v>
      </c>
    </row>
    <row r="414" spans="1:19" s="7" customFormat="1" x14ac:dyDescent="0.3">
      <c r="A414" t="s">
        <v>557</v>
      </c>
      <c r="B414"/>
      <c r="C414" t="s">
        <v>558</v>
      </c>
      <c r="D414" t="s">
        <v>36</v>
      </c>
      <c r="E414" t="s">
        <v>37</v>
      </c>
      <c r="F414" t="s">
        <v>38</v>
      </c>
      <c r="G414" t="s">
        <v>39</v>
      </c>
      <c r="H414">
        <v>2023</v>
      </c>
      <c r="I414" t="s">
        <v>271</v>
      </c>
      <c r="J414"/>
      <c r="K414"/>
      <c r="L414"/>
      <c r="M414">
        <v>2023</v>
      </c>
      <c r="N414"/>
      <c r="O414" t="s">
        <v>45</v>
      </c>
      <c r="P414"/>
      <c r="Q414" t="s">
        <v>1421</v>
      </c>
      <c r="R414" s="64" t="s">
        <v>714</v>
      </c>
      <c r="S414" s="65">
        <f>((S354-S345)/S354)*100</f>
        <v>-4.8258138206738739</v>
      </c>
    </row>
    <row r="415" spans="1:19" s="7" customFormat="1" x14ac:dyDescent="0.3">
      <c r="A415" t="s">
        <v>557</v>
      </c>
      <c r="B415"/>
      <c r="C415" t="s">
        <v>558</v>
      </c>
      <c r="D415" t="s">
        <v>36</v>
      </c>
      <c r="E415" t="s">
        <v>37</v>
      </c>
      <c r="F415" t="s">
        <v>38</v>
      </c>
      <c r="G415" t="s">
        <v>39</v>
      </c>
      <c r="H415">
        <v>2023</v>
      </c>
      <c r="I415" t="s">
        <v>271</v>
      </c>
      <c r="J415"/>
      <c r="K415"/>
      <c r="L415"/>
      <c r="M415">
        <v>2023</v>
      </c>
      <c r="N415"/>
      <c r="O415" t="s">
        <v>45</v>
      </c>
      <c r="P415"/>
      <c r="Q415" t="s">
        <v>1422</v>
      </c>
      <c r="R415" s="64" t="s">
        <v>715</v>
      </c>
      <c r="S415" s="65">
        <f>((S363-S354)/S363)*100</f>
        <v>-21.851078636047308</v>
      </c>
    </row>
    <row r="416" spans="1:19" s="7" customFormat="1" x14ac:dyDescent="0.3">
      <c r="A416" t="s">
        <v>557</v>
      </c>
      <c r="B416"/>
      <c r="C416" t="s">
        <v>558</v>
      </c>
      <c r="D416" t="s">
        <v>36</v>
      </c>
      <c r="E416" t="s">
        <v>37</v>
      </c>
      <c r="F416" t="s">
        <v>38</v>
      </c>
      <c r="G416" t="s">
        <v>39</v>
      </c>
      <c r="H416">
        <v>2023</v>
      </c>
      <c r="I416" t="s">
        <v>271</v>
      </c>
      <c r="J416"/>
      <c r="K416"/>
      <c r="L416"/>
      <c r="M416">
        <v>2023</v>
      </c>
      <c r="N416"/>
      <c r="O416" t="s">
        <v>45</v>
      </c>
      <c r="P416"/>
      <c r="Q416" t="s">
        <v>1423</v>
      </c>
      <c r="R416" s="64" t="s">
        <v>716</v>
      </c>
      <c r="S416" s="65">
        <f>((S372-S363)/S372)*100</f>
        <v>7.8255291853752116</v>
      </c>
    </row>
    <row r="417" spans="1:19" s="7" customFormat="1" x14ac:dyDescent="0.3">
      <c r="A417" t="s">
        <v>557</v>
      </c>
      <c r="B417"/>
      <c r="C417" t="s">
        <v>558</v>
      </c>
      <c r="D417" t="s">
        <v>36</v>
      </c>
      <c r="E417" t="s">
        <v>37</v>
      </c>
      <c r="F417" t="s">
        <v>38</v>
      </c>
      <c r="G417" t="s">
        <v>39</v>
      </c>
      <c r="H417">
        <v>2023</v>
      </c>
      <c r="I417" t="s">
        <v>271</v>
      </c>
      <c r="J417"/>
      <c r="K417"/>
      <c r="L417"/>
      <c r="M417">
        <v>2023</v>
      </c>
      <c r="N417"/>
      <c r="O417" t="s">
        <v>45</v>
      </c>
      <c r="P417"/>
      <c r="Q417" t="s">
        <v>1424</v>
      </c>
      <c r="R417" s="64" t="s">
        <v>717</v>
      </c>
      <c r="S417" s="65">
        <f>((S381-S372)/S381)*100</f>
        <v>7.8060319337670148</v>
      </c>
    </row>
    <row r="418" spans="1:19" s="7" customFormat="1" x14ac:dyDescent="0.3">
      <c r="A418" t="s">
        <v>557</v>
      </c>
      <c r="B418"/>
      <c r="C418" t="s">
        <v>558</v>
      </c>
      <c r="D418" t="s">
        <v>36</v>
      </c>
      <c r="E418" t="s">
        <v>37</v>
      </c>
      <c r="F418" t="s">
        <v>38</v>
      </c>
      <c r="G418" t="s">
        <v>39</v>
      </c>
      <c r="H418">
        <v>2023</v>
      </c>
      <c r="I418" t="s">
        <v>271</v>
      </c>
      <c r="J418"/>
      <c r="K418"/>
      <c r="L418"/>
      <c r="M418">
        <v>2023</v>
      </c>
      <c r="N418"/>
      <c r="O418" t="s">
        <v>45</v>
      </c>
      <c r="P418"/>
      <c r="Q418" t="s">
        <v>1425</v>
      </c>
      <c r="R418" s="64" t="s">
        <v>718</v>
      </c>
      <c r="S418" s="65">
        <f>((S390-S381)/S390)*100</f>
        <v>-6.3522012578616334</v>
      </c>
    </row>
    <row r="419" spans="1:19" s="7" customFormat="1" x14ac:dyDescent="0.3">
      <c r="A419" t="s">
        <v>557</v>
      </c>
      <c r="B419"/>
      <c r="C419" t="s">
        <v>558</v>
      </c>
      <c r="D419" t="s">
        <v>36</v>
      </c>
      <c r="E419" t="s">
        <v>37</v>
      </c>
      <c r="F419" t="s">
        <v>38</v>
      </c>
      <c r="G419" t="s">
        <v>39</v>
      </c>
      <c r="H419">
        <v>2023</v>
      </c>
      <c r="I419" t="s">
        <v>271</v>
      </c>
      <c r="J419"/>
      <c r="K419"/>
      <c r="L419"/>
      <c r="M419">
        <v>2023</v>
      </c>
      <c r="N419"/>
      <c r="O419" t="s">
        <v>45</v>
      </c>
      <c r="P419"/>
      <c r="Q419" t="s">
        <v>1426</v>
      </c>
      <c r="R419" s="64" t="s">
        <v>719</v>
      </c>
      <c r="S419" s="65">
        <f>((S399-S390)/S390)*100</f>
        <v>-14.74842767295598</v>
      </c>
    </row>
    <row r="420" spans="1:19" s="7" customFormat="1" x14ac:dyDescent="0.3">
      <c r="A420" t="s">
        <v>557</v>
      </c>
      <c r="B420"/>
      <c r="C420" t="s">
        <v>558</v>
      </c>
      <c r="D420" t="s">
        <v>36</v>
      </c>
      <c r="E420" t="s">
        <v>37</v>
      </c>
      <c r="F420" t="s">
        <v>38</v>
      </c>
      <c r="G420" t="s">
        <v>39</v>
      </c>
      <c r="H420">
        <v>2023</v>
      </c>
      <c r="I420" t="s">
        <v>271</v>
      </c>
      <c r="J420"/>
      <c r="K420"/>
      <c r="L420"/>
      <c r="M420">
        <v>2023</v>
      </c>
      <c r="N420"/>
      <c r="O420" t="s">
        <v>45</v>
      </c>
      <c r="P420"/>
      <c r="Q420" t="s">
        <v>1427</v>
      </c>
      <c r="R420" s="64" t="s">
        <v>720</v>
      </c>
      <c r="S420" s="65">
        <f>((S408-S399)/S399)*100</f>
        <v>-1.032829214312053</v>
      </c>
    </row>
    <row r="421" spans="1:19" s="7" customFormat="1" x14ac:dyDescent="0.3">
      <c r="A421" t="s">
        <v>557</v>
      </c>
      <c r="B421"/>
      <c r="C421" t="s">
        <v>558</v>
      </c>
      <c r="D421" t="s">
        <v>36</v>
      </c>
      <c r="E421" t="s">
        <v>37</v>
      </c>
      <c r="F421" t="s">
        <v>38</v>
      </c>
      <c r="G421" t="s">
        <v>39</v>
      </c>
      <c r="H421">
        <v>2023</v>
      </c>
      <c r="I421" t="s">
        <v>271</v>
      </c>
      <c r="J421"/>
      <c r="K421"/>
      <c r="L421"/>
      <c r="M421">
        <v>2023</v>
      </c>
      <c r="N421"/>
      <c r="O421" t="s">
        <v>45</v>
      </c>
      <c r="P421"/>
      <c r="Q421"/>
      <c r="R421" s="64" t="s">
        <v>723</v>
      </c>
      <c r="S421" s="65">
        <f>((S408-S399)/S408)*100</f>
        <v>-1.0436079016026745</v>
      </c>
    </row>
    <row r="422" spans="1:19" s="7" customFormat="1" x14ac:dyDescent="0.3">
      <c r="A422" t="s">
        <v>557</v>
      </c>
      <c r="B422"/>
      <c r="C422" t="s">
        <v>558</v>
      </c>
      <c r="D422" t="s">
        <v>36</v>
      </c>
      <c r="E422" t="s">
        <v>37</v>
      </c>
      <c r="F422" t="s">
        <v>38</v>
      </c>
      <c r="G422" t="s">
        <v>39</v>
      </c>
      <c r="H422">
        <v>2023</v>
      </c>
      <c r="I422" t="s">
        <v>271</v>
      </c>
      <c r="J422"/>
      <c r="K422"/>
      <c r="L422"/>
      <c r="M422">
        <v>2023</v>
      </c>
      <c r="N422"/>
      <c r="O422" t="s">
        <v>45</v>
      </c>
      <c r="P422"/>
      <c r="Q422" t="s">
        <v>1428</v>
      </c>
      <c r="R422" s="64" t="s">
        <v>721</v>
      </c>
      <c r="S422" s="68">
        <f>S391+S392</f>
        <v>5</v>
      </c>
    </row>
    <row r="423" spans="1:19" s="7" customFormat="1" x14ac:dyDescent="0.3">
      <c r="A423" t="s">
        <v>557</v>
      </c>
      <c r="B423"/>
      <c r="C423" t="s">
        <v>558</v>
      </c>
      <c r="D423" t="s">
        <v>36</v>
      </c>
      <c r="E423" t="s">
        <v>37</v>
      </c>
      <c r="F423" t="s">
        <v>38</v>
      </c>
      <c r="G423" t="s">
        <v>39</v>
      </c>
      <c r="H423">
        <v>2023</v>
      </c>
      <c r="I423" t="s">
        <v>271</v>
      </c>
      <c r="J423"/>
      <c r="K423"/>
      <c r="L423"/>
      <c r="M423">
        <v>2023</v>
      </c>
      <c r="N423"/>
      <c r="O423" t="s">
        <v>45</v>
      </c>
      <c r="P423"/>
      <c r="Q423" t="s">
        <v>1428</v>
      </c>
      <c r="R423" s="64" t="s">
        <v>722</v>
      </c>
      <c r="S423" s="65">
        <f>S400+S401</f>
        <v>5.41</v>
      </c>
    </row>
    <row r="424" spans="1:19" s="7" customFormat="1" x14ac:dyDescent="0.3">
      <c r="A424" t="s">
        <v>557</v>
      </c>
      <c r="B424"/>
      <c r="C424" t="s">
        <v>558</v>
      </c>
      <c r="D424" t="s">
        <v>36</v>
      </c>
      <c r="E424" t="s">
        <v>37</v>
      </c>
      <c r="F424" t="s">
        <v>38</v>
      </c>
      <c r="G424" t="s">
        <v>39</v>
      </c>
      <c r="H424">
        <v>2023</v>
      </c>
      <c r="I424" t="s">
        <v>271</v>
      </c>
      <c r="J424"/>
      <c r="K424"/>
      <c r="L424"/>
      <c r="M424">
        <v>2023</v>
      </c>
      <c r="N424"/>
      <c r="O424" t="s">
        <v>45</v>
      </c>
      <c r="P424"/>
      <c r="Q424" t="s">
        <v>1429</v>
      </c>
      <c r="R424" s="64" t="s">
        <v>724</v>
      </c>
      <c r="S424" s="65">
        <f>S393+S394+S395</f>
        <v>13.19</v>
      </c>
    </row>
    <row r="425" spans="1:19" s="7" customFormat="1" x14ac:dyDescent="0.3">
      <c r="A425" t="s">
        <v>557</v>
      </c>
      <c r="B425"/>
      <c r="C425" t="s">
        <v>558</v>
      </c>
      <c r="D425" t="s">
        <v>36</v>
      </c>
      <c r="E425" t="s">
        <v>37</v>
      </c>
      <c r="F425" t="s">
        <v>38</v>
      </c>
      <c r="G425" t="s">
        <v>39</v>
      </c>
      <c r="H425">
        <v>2023</v>
      </c>
      <c r="I425" t="s">
        <v>271</v>
      </c>
      <c r="J425"/>
      <c r="K425"/>
      <c r="L425"/>
      <c r="M425">
        <v>2023</v>
      </c>
      <c r="N425"/>
      <c r="O425" t="s">
        <v>45</v>
      </c>
      <c r="P425"/>
      <c r="Q425" t="s">
        <v>1429</v>
      </c>
      <c r="R425" s="64" t="s">
        <v>725</v>
      </c>
      <c r="S425" s="65">
        <f>S402+S403+S404</f>
        <v>13.27</v>
      </c>
    </row>
    <row r="426" spans="1:19" s="7" customFormat="1" x14ac:dyDescent="0.3">
      <c r="A426" t="s">
        <v>557</v>
      </c>
      <c r="B426"/>
      <c r="C426" t="s">
        <v>558</v>
      </c>
      <c r="D426" t="s">
        <v>36</v>
      </c>
      <c r="E426" t="s">
        <v>37</v>
      </c>
      <c r="F426" t="s">
        <v>38</v>
      </c>
      <c r="G426" t="s">
        <v>39</v>
      </c>
      <c r="H426">
        <v>2023</v>
      </c>
      <c r="I426" t="s">
        <v>271</v>
      </c>
      <c r="J426"/>
      <c r="K426"/>
      <c r="L426"/>
      <c r="M426">
        <v>2023</v>
      </c>
      <c r="N426"/>
      <c r="O426" t="s">
        <v>45</v>
      </c>
      <c r="P426"/>
      <c r="Q426" t="s">
        <v>1430</v>
      </c>
      <c r="R426" s="64" t="s">
        <v>726</v>
      </c>
      <c r="S426" s="68">
        <f>S396+S397+S398</f>
        <v>8.92</v>
      </c>
    </row>
    <row r="427" spans="1:19" s="7" customFormat="1" x14ac:dyDescent="0.3">
      <c r="A427" t="s">
        <v>557</v>
      </c>
      <c r="B427"/>
      <c r="C427" t="s">
        <v>558</v>
      </c>
      <c r="D427" t="s">
        <v>36</v>
      </c>
      <c r="E427" t="s">
        <v>37</v>
      </c>
      <c r="F427" t="s">
        <v>38</v>
      </c>
      <c r="G427" t="s">
        <v>39</v>
      </c>
      <c r="H427">
        <v>2023</v>
      </c>
      <c r="I427" t="s">
        <v>271</v>
      </c>
      <c r="J427"/>
      <c r="K427"/>
      <c r="L427"/>
      <c r="M427">
        <v>2023</v>
      </c>
      <c r="N427"/>
      <c r="O427" t="s">
        <v>45</v>
      </c>
      <c r="P427"/>
      <c r="Q427" t="s">
        <v>1430</v>
      </c>
      <c r="R427" s="64" t="s">
        <v>727</v>
      </c>
      <c r="S427" s="65">
        <f>S405+S406+S407</f>
        <v>8.15</v>
      </c>
    </row>
    <row r="428" spans="1:19" s="7" customFormat="1" x14ac:dyDescent="0.3">
      <c r="A428" t="s">
        <v>557</v>
      </c>
      <c r="B428"/>
      <c r="C428" t="s">
        <v>558</v>
      </c>
      <c r="D428" t="s">
        <v>36</v>
      </c>
      <c r="E428" t="s">
        <v>37</v>
      </c>
      <c r="F428" t="s">
        <v>38</v>
      </c>
      <c r="G428" t="s">
        <v>39</v>
      </c>
      <c r="H428">
        <v>2023</v>
      </c>
      <c r="I428" t="s">
        <v>271</v>
      </c>
      <c r="J428"/>
      <c r="K428"/>
      <c r="L428"/>
      <c r="M428">
        <v>2023</v>
      </c>
      <c r="N428"/>
      <c r="O428" t="s">
        <v>45</v>
      </c>
      <c r="P428"/>
      <c r="Q428" t="s">
        <v>1431</v>
      </c>
      <c r="R428" s="64" t="s">
        <v>728</v>
      </c>
      <c r="S428" s="65">
        <f>((S423-S422)/S423)*100</f>
        <v>7.5785582255083206</v>
      </c>
    </row>
    <row r="429" spans="1:19" s="7" customFormat="1" x14ac:dyDescent="0.3">
      <c r="A429" t="s">
        <v>557</v>
      </c>
      <c r="B429"/>
      <c r="C429" t="s">
        <v>558</v>
      </c>
      <c r="D429" t="s">
        <v>36</v>
      </c>
      <c r="E429" t="s">
        <v>37</v>
      </c>
      <c r="F429" t="s">
        <v>38</v>
      </c>
      <c r="G429" t="s">
        <v>39</v>
      </c>
      <c r="H429">
        <v>2023</v>
      </c>
      <c r="I429" t="s">
        <v>271</v>
      </c>
      <c r="J429"/>
      <c r="K429"/>
      <c r="L429"/>
      <c r="M429">
        <v>2023</v>
      </c>
      <c r="N429"/>
      <c r="O429" t="s">
        <v>45</v>
      </c>
      <c r="P429"/>
      <c r="Q429" t="s">
        <v>1431</v>
      </c>
      <c r="R429" s="64" t="s">
        <v>729</v>
      </c>
      <c r="S429" s="65">
        <f>((S425-S424)/S425)*100</f>
        <v>0.6028636021100231</v>
      </c>
    </row>
    <row r="430" spans="1:19" s="7" customFormat="1" x14ac:dyDescent="0.3">
      <c r="A430" t="s">
        <v>557</v>
      </c>
      <c r="B430"/>
      <c r="C430" t="s">
        <v>558</v>
      </c>
      <c r="D430" t="s">
        <v>36</v>
      </c>
      <c r="E430" t="s">
        <v>37</v>
      </c>
      <c r="F430" t="s">
        <v>38</v>
      </c>
      <c r="G430" t="s">
        <v>39</v>
      </c>
      <c r="H430">
        <v>2023</v>
      </c>
      <c r="I430" t="s">
        <v>271</v>
      </c>
      <c r="J430"/>
      <c r="K430"/>
      <c r="L430"/>
      <c r="M430">
        <v>2023</v>
      </c>
      <c r="N430"/>
      <c r="O430" t="s">
        <v>45</v>
      </c>
      <c r="P430"/>
      <c r="Q430" t="s">
        <v>1431</v>
      </c>
      <c r="R430" s="64" t="s">
        <v>730</v>
      </c>
      <c r="S430" s="65">
        <f>((S427-S426)/S427)*100</f>
        <v>-9.4478527607361897</v>
      </c>
    </row>
    <row r="431" spans="1:19" s="7" customFormat="1" x14ac:dyDescent="0.3">
      <c r="A431" t="s">
        <v>557</v>
      </c>
      <c r="B431"/>
      <c r="C431" t="s">
        <v>733</v>
      </c>
      <c r="D431" t="s">
        <v>36</v>
      </c>
      <c r="E431" t="s">
        <v>37</v>
      </c>
      <c r="F431" t="s">
        <v>38</v>
      </c>
      <c r="G431" t="s">
        <v>39</v>
      </c>
      <c r="H431">
        <v>2023</v>
      </c>
      <c r="I431" t="s">
        <v>271</v>
      </c>
      <c r="J431"/>
      <c r="K431"/>
      <c r="L431"/>
      <c r="M431">
        <v>2023</v>
      </c>
      <c r="N431"/>
      <c r="O431" t="s">
        <v>45</v>
      </c>
      <c r="P431"/>
      <c r="Q431" t="s">
        <v>1432</v>
      </c>
      <c r="R431" s="92" t="s">
        <v>734</v>
      </c>
      <c r="S431" s="94">
        <v>1368359.36</v>
      </c>
    </row>
    <row r="432" spans="1:19" s="7" customFormat="1" x14ac:dyDescent="0.3">
      <c r="A432" t="s">
        <v>557</v>
      </c>
      <c r="B432"/>
      <c r="C432" t="s">
        <v>733</v>
      </c>
      <c r="D432" t="s">
        <v>36</v>
      </c>
      <c r="E432" t="s">
        <v>37</v>
      </c>
      <c r="F432" t="s">
        <v>38</v>
      </c>
      <c r="G432" t="s">
        <v>39</v>
      </c>
      <c r="H432">
        <v>2023</v>
      </c>
      <c r="I432" t="s">
        <v>271</v>
      </c>
      <c r="J432"/>
      <c r="K432"/>
      <c r="L432"/>
      <c r="M432">
        <v>2023</v>
      </c>
      <c r="N432"/>
      <c r="O432" t="s">
        <v>45</v>
      </c>
      <c r="P432"/>
      <c r="Q432" t="s">
        <v>1433</v>
      </c>
      <c r="R432" t="s">
        <v>735</v>
      </c>
      <c r="S432" s="91">
        <v>1368359.36</v>
      </c>
    </row>
    <row r="433" spans="1:19" s="7" customFormat="1" x14ac:dyDescent="0.3">
      <c r="A433" t="s">
        <v>557</v>
      </c>
      <c r="B433"/>
      <c r="C433" t="s">
        <v>733</v>
      </c>
      <c r="D433" t="s">
        <v>36</v>
      </c>
      <c r="E433" t="s">
        <v>37</v>
      </c>
      <c r="F433" t="s">
        <v>38</v>
      </c>
      <c r="G433" t="s">
        <v>39</v>
      </c>
      <c r="H433">
        <v>2023</v>
      </c>
      <c r="I433" t="s">
        <v>271</v>
      </c>
      <c r="J433"/>
      <c r="K433"/>
      <c r="L433"/>
      <c r="M433">
        <v>2023</v>
      </c>
      <c r="N433"/>
      <c r="O433" t="s">
        <v>45</v>
      </c>
      <c r="P433"/>
      <c r="Q433" t="s">
        <v>1434</v>
      </c>
      <c r="R433" s="92" t="s">
        <v>736</v>
      </c>
      <c r="S433" s="94">
        <v>15649892.191</v>
      </c>
    </row>
    <row r="434" spans="1:19" s="7" customFormat="1" x14ac:dyDescent="0.3">
      <c r="A434" t="s">
        <v>557</v>
      </c>
      <c r="B434"/>
      <c r="C434" t="s">
        <v>733</v>
      </c>
      <c r="D434" t="s">
        <v>36</v>
      </c>
      <c r="E434" t="s">
        <v>37</v>
      </c>
      <c r="F434" t="s">
        <v>38</v>
      </c>
      <c r="G434" t="s">
        <v>39</v>
      </c>
      <c r="H434">
        <v>2023</v>
      </c>
      <c r="I434" t="s">
        <v>271</v>
      </c>
      <c r="J434"/>
      <c r="K434"/>
      <c r="L434"/>
      <c r="M434">
        <v>2023</v>
      </c>
      <c r="N434"/>
      <c r="O434" t="s">
        <v>45</v>
      </c>
      <c r="P434"/>
      <c r="Q434" t="s">
        <v>1435</v>
      </c>
      <c r="R434" s="92" t="s">
        <v>737</v>
      </c>
      <c r="S434" s="94">
        <v>1241370.635</v>
      </c>
    </row>
    <row r="435" spans="1:19" s="7" customFormat="1" x14ac:dyDescent="0.3">
      <c r="A435" t="s">
        <v>557</v>
      </c>
      <c r="B435"/>
      <c r="C435" t="s">
        <v>733</v>
      </c>
      <c r="D435" t="s">
        <v>36</v>
      </c>
      <c r="E435" t="s">
        <v>37</v>
      </c>
      <c r="F435" t="s">
        <v>38</v>
      </c>
      <c r="G435" t="s">
        <v>39</v>
      </c>
      <c r="H435">
        <v>2023</v>
      </c>
      <c r="I435" t="s">
        <v>271</v>
      </c>
      <c r="J435"/>
      <c r="K435"/>
      <c r="L435"/>
      <c r="M435">
        <v>2023</v>
      </c>
      <c r="N435"/>
      <c r="O435" t="s">
        <v>45</v>
      </c>
      <c r="P435"/>
      <c r="Q435" t="s">
        <v>1436</v>
      </c>
      <c r="R435" s="92" t="s">
        <v>738</v>
      </c>
      <c r="S435" s="94">
        <v>241297337.86000001</v>
      </c>
    </row>
    <row r="436" spans="1:19" s="7" customFormat="1" x14ac:dyDescent="0.3">
      <c r="A436" t="s">
        <v>557</v>
      </c>
      <c r="B436"/>
      <c r="C436" t="s">
        <v>733</v>
      </c>
      <c r="D436" t="s">
        <v>36</v>
      </c>
      <c r="E436" t="s">
        <v>37</v>
      </c>
      <c r="F436" t="s">
        <v>38</v>
      </c>
      <c r="G436" t="s">
        <v>39</v>
      </c>
      <c r="H436">
        <v>2023</v>
      </c>
      <c r="I436" t="s">
        <v>271</v>
      </c>
      <c r="J436"/>
      <c r="K436"/>
      <c r="L436"/>
      <c r="M436">
        <v>2023</v>
      </c>
      <c r="N436"/>
      <c r="O436" t="s">
        <v>45</v>
      </c>
      <c r="P436"/>
      <c r="Q436" t="s">
        <v>1437</v>
      </c>
      <c r="R436" t="s">
        <v>739</v>
      </c>
      <c r="S436" s="93">
        <v>728414.78</v>
      </c>
    </row>
    <row r="437" spans="1:19" s="7" customFormat="1" x14ac:dyDescent="0.3">
      <c r="A437" t="s">
        <v>557</v>
      </c>
      <c r="B437"/>
      <c r="C437" t="s">
        <v>733</v>
      </c>
      <c r="D437" t="s">
        <v>36</v>
      </c>
      <c r="E437" t="s">
        <v>37</v>
      </c>
      <c r="F437" t="s">
        <v>38</v>
      </c>
      <c r="G437" t="s">
        <v>39</v>
      </c>
      <c r="H437">
        <v>2023</v>
      </c>
      <c r="I437" t="s">
        <v>271</v>
      </c>
      <c r="J437"/>
      <c r="K437"/>
      <c r="L437"/>
      <c r="M437">
        <v>2023</v>
      </c>
      <c r="N437"/>
      <c r="O437" t="s">
        <v>45</v>
      </c>
      <c r="P437"/>
      <c r="Q437" t="s">
        <v>1436</v>
      </c>
      <c r="R437" t="s">
        <v>740</v>
      </c>
      <c r="S437" s="93">
        <v>90100254.033999994</v>
      </c>
    </row>
    <row r="438" spans="1:19" s="7" customFormat="1" x14ac:dyDescent="0.3">
      <c r="A438" t="s">
        <v>557</v>
      </c>
      <c r="B438"/>
      <c r="C438" t="s">
        <v>733</v>
      </c>
      <c r="D438" t="s">
        <v>36</v>
      </c>
      <c r="E438" t="s">
        <v>37</v>
      </c>
      <c r="F438" t="s">
        <v>38</v>
      </c>
      <c r="G438" t="s">
        <v>39</v>
      </c>
      <c r="H438">
        <v>2023</v>
      </c>
      <c r="I438" t="s">
        <v>271</v>
      </c>
      <c r="J438"/>
      <c r="K438"/>
      <c r="L438"/>
      <c r="M438">
        <v>2023</v>
      </c>
      <c r="N438"/>
      <c r="O438" t="s">
        <v>45</v>
      </c>
      <c r="P438"/>
      <c r="Q438" t="s">
        <v>1438</v>
      </c>
      <c r="R438" t="s">
        <v>741</v>
      </c>
      <c r="S438" s="91">
        <v>15649892.191</v>
      </c>
    </row>
    <row r="439" spans="1:19" s="7" customFormat="1" x14ac:dyDescent="0.3">
      <c r="A439" t="s">
        <v>557</v>
      </c>
      <c r="B439"/>
      <c r="C439" t="s">
        <v>733</v>
      </c>
      <c r="D439" t="s">
        <v>36</v>
      </c>
      <c r="E439" t="s">
        <v>37</v>
      </c>
      <c r="F439" t="s">
        <v>38</v>
      </c>
      <c r="G439" t="s">
        <v>39</v>
      </c>
      <c r="H439">
        <v>2023</v>
      </c>
      <c r="I439" t="s">
        <v>271</v>
      </c>
      <c r="J439"/>
      <c r="K439"/>
      <c r="L439"/>
      <c r="M439">
        <v>2023</v>
      </c>
      <c r="N439"/>
      <c r="O439" t="s">
        <v>45</v>
      </c>
      <c r="P439"/>
      <c r="Q439" t="s">
        <v>1438</v>
      </c>
      <c r="R439" t="s">
        <v>742</v>
      </c>
      <c r="S439" s="91">
        <v>151197083.82499999</v>
      </c>
    </row>
    <row r="440" spans="1:19" s="7" customFormat="1" x14ac:dyDescent="0.3">
      <c r="A440" t="s">
        <v>557</v>
      </c>
      <c r="B440"/>
      <c r="C440" t="s">
        <v>733</v>
      </c>
      <c r="D440" t="s">
        <v>36</v>
      </c>
      <c r="E440" t="s">
        <v>37</v>
      </c>
      <c r="F440" t="s">
        <v>38</v>
      </c>
      <c r="G440" t="s">
        <v>39</v>
      </c>
      <c r="H440">
        <v>2023</v>
      </c>
      <c r="I440" t="s">
        <v>271</v>
      </c>
      <c r="J440"/>
      <c r="K440"/>
      <c r="L440"/>
      <c r="M440">
        <v>2023</v>
      </c>
      <c r="N440"/>
      <c r="O440" t="s">
        <v>45</v>
      </c>
      <c r="P440"/>
      <c r="Q440" t="s">
        <v>1439</v>
      </c>
      <c r="R440" t="s">
        <v>743</v>
      </c>
      <c r="S440" s="91">
        <v>512955.85499999998</v>
      </c>
    </row>
    <row r="441" spans="1:19" s="7" customFormat="1" x14ac:dyDescent="0.3">
      <c r="A441" t="s">
        <v>557</v>
      </c>
      <c r="B441"/>
      <c r="C441" t="s">
        <v>733</v>
      </c>
      <c r="D441" t="s">
        <v>36</v>
      </c>
      <c r="E441" t="s">
        <v>37</v>
      </c>
      <c r="F441" t="s">
        <v>38</v>
      </c>
      <c r="G441" t="s">
        <v>39</v>
      </c>
      <c r="H441">
        <v>2023</v>
      </c>
      <c r="I441" t="s">
        <v>271</v>
      </c>
      <c r="J441"/>
      <c r="K441"/>
      <c r="L441"/>
      <c r="M441">
        <v>2023</v>
      </c>
      <c r="N441"/>
      <c r="O441" t="s">
        <v>45</v>
      </c>
      <c r="P441"/>
      <c r="Q441" t="s">
        <v>1440</v>
      </c>
      <c r="R441" s="64" t="s">
        <v>744</v>
      </c>
      <c r="S441" s="95">
        <f>S433</f>
        <v>15649892.191</v>
      </c>
    </row>
    <row r="442" spans="1:19" s="7" customFormat="1" x14ac:dyDescent="0.3">
      <c r="A442" t="s">
        <v>557</v>
      </c>
      <c r="B442"/>
      <c r="C442" t="s">
        <v>733</v>
      </c>
      <c r="D442" t="s">
        <v>36</v>
      </c>
      <c r="E442" t="s">
        <v>37</v>
      </c>
      <c r="F442" t="s">
        <v>38</v>
      </c>
      <c r="G442" t="s">
        <v>39</v>
      </c>
      <c r="H442">
        <v>2023</v>
      </c>
      <c r="I442" t="s">
        <v>271</v>
      </c>
      <c r="J442"/>
      <c r="K442"/>
      <c r="L442"/>
      <c r="M442">
        <v>2023</v>
      </c>
      <c r="N442"/>
      <c r="O442" t="s">
        <v>45</v>
      </c>
      <c r="P442"/>
      <c r="Q442" t="s">
        <v>1441</v>
      </c>
      <c r="R442" s="64" t="s">
        <v>745</v>
      </c>
      <c r="S442" s="95">
        <f>S434</f>
        <v>1241370.635</v>
      </c>
    </row>
    <row r="443" spans="1:19" s="7" customFormat="1" x14ac:dyDescent="0.3">
      <c r="A443" t="s">
        <v>557</v>
      </c>
      <c r="B443"/>
      <c r="C443" t="s">
        <v>733</v>
      </c>
      <c r="D443" t="s">
        <v>36</v>
      </c>
      <c r="E443" t="s">
        <v>37</v>
      </c>
      <c r="F443" t="s">
        <v>38</v>
      </c>
      <c r="G443" t="s">
        <v>39</v>
      </c>
      <c r="H443">
        <v>2023</v>
      </c>
      <c r="I443" t="s">
        <v>271</v>
      </c>
      <c r="J443"/>
      <c r="K443"/>
      <c r="L443"/>
      <c r="M443">
        <v>2023</v>
      </c>
      <c r="N443"/>
      <c r="O443" t="s">
        <v>45</v>
      </c>
      <c r="P443"/>
      <c r="Q443" t="s">
        <v>1442</v>
      </c>
      <c r="R443" s="64" t="s">
        <v>746</v>
      </c>
      <c r="S443" s="95">
        <f>S431+S435</f>
        <v>242665697.22000003</v>
      </c>
    </row>
    <row r="444" spans="1:19" s="7" customFormat="1" x14ac:dyDescent="0.3">
      <c r="A444" t="s">
        <v>557</v>
      </c>
      <c r="B444"/>
      <c r="C444" t="s">
        <v>733</v>
      </c>
      <c r="D444" t="s">
        <v>36</v>
      </c>
      <c r="E444" t="s">
        <v>37</v>
      </c>
      <c r="F444" t="s">
        <v>38</v>
      </c>
      <c r="G444" t="s">
        <v>39</v>
      </c>
      <c r="H444">
        <v>2023</v>
      </c>
      <c r="I444" t="s">
        <v>271</v>
      </c>
      <c r="J444"/>
      <c r="K444"/>
      <c r="L444"/>
      <c r="M444">
        <v>2023</v>
      </c>
      <c r="N444"/>
      <c r="O444" t="s">
        <v>45</v>
      </c>
      <c r="P444"/>
      <c r="Q444" t="s">
        <v>1443</v>
      </c>
      <c r="R444" s="96" t="s">
        <v>747</v>
      </c>
      <c r="S444" s="97">
        <f>S431</f>
        <v>1368359.36</v>
      </c>
    </row>
    <row r="445" spans="1:19" s="7" customFormat="1" x14ac:dyDescent="0.3">
      <c r="A445" t="s">
        <v>557</v>
      </c>
      <c r="B445"/>
      <c r="C445" t="s">
        <v>733</v>
      </c>
      <c r="D445" t="s">
        <v>36</v>
      </c>
      <c r="E445" t="s">
        <v>37</v>
      </c>
      <c r="F445" t="s">
        <v>38</v>
      </c>
      <c r="G445" t="s">
        <v>39</v>
      </c>
      <c r="H445">
        <v>2023</v>
      </c>
      <c r="I445" t="s">
        <v>271</v>
      </c>
      <c r="J445"/>
      <c r="K445"/>
      <c r="L445"/>
      <c r="M445">
        <v>2023</v>
      </c>
      <c r="N445"/>
      <c r="O445" t="s">
        <v>45</v>
      </c>
      <c r="P445"/>
      <c r="Q445" t="s">
        <v>1444</v>
      </c>
      <c r="R445" s="64" t="s">
        <v>748</v>
      </c>
      <c r="S445" s="95">
        <f>S432</f>
        <v>1368359.36</v>
      </c>
    </row>
    <row r="446" spans="1:19" s="7" customFormat="1" x14ac:dyDescent="0.3">
      <c r="A446" t="s">
        <v>557</v>
      </c>
      <c r="B446"/>
      <c r="C446" t="s">
        <v>733</v>
      </c>
      <c r="D446" t="s">
        <v>36</v>
      </c>
      <c r="E446" t="s">
        <v>37</v>
      </c>
      <c r="F446" t="s">
        <v>38</v>
      </c>
      <c r="G446" t="s">
        <v>39</v>
      </c>
      <c r="H446">
        <v>2023</v>
      </c>
      <c r="I446" t="s">
        <v>271</v>
      </c>
      <c r="J446"/>
      <c r="K446"/>
      <c r="L446"/>
      <c r="M446">
        <v>2023</v>
      </c>
      <c r="N446"/>
      <c r="O446" t="s">
        <v>45</v>
      </c>
      <c r="P446"/>
      <c r="Q446" t="s">
        <v>1445</v>
      </c>
      <c r="R446" s="96" t="s">
        <v>749</v>
      </c>
      <c r="S446" s="97">
        <f>S433+S434+S435</f>
        <v>258188600.68600002</v>
      </c>
    </row>
    <row r="447" spans="1:19" s="7" customFormat="1" x14ac:dyDescent="0.3">
      <c r="A447" t="s">
        <v>557</v>
      </c>
      <c r="B447"/>
      <c r="C447" t="s">
        <v>733</v>
      </c>
      <c r="D447" t="s">
        <v>36</v>
      </c>
      <c r="E447" t="s">
        <v>37</v>
      </c>
      <c r="F447" t="s">
        <v>38</v>
      </c>
      <c r="G447" t="s">
        <v>39</v>
      </c>
      <c r="H447">
        <v>2023</v>
      </c>
      <c r="I447" t="s">
        <v>271</v>
      </c>
      <c r="J447"/>
      <c r="K447"/>
      <c r="L447"/>
      <c r="M447">
        <v>2023</v>
      </c>
      <c r="N447"/>
      <c r="O447" t="s">
        <v>45</v>
      </c>
      <c r="P447"/>
      <c r="Q447" t="s">
        <v>1444</v>
      </c>
      <c r="R447" s="64" t="s">
        <v>750</v>
      </c>
      <c r="S447" s="95">
        <f>S436+S437</f>
        <v>90828668.813999996</v>
      </c>
    </row>
    <row r="448" spans="1:19" s="7" customFormat="1" x14ac:dyDescent="0.3">
      <c r="A448" t="s">
        <v>557</v>
      </c>
      <c r="B448"/>
      <c r="C448" t="s">
        <v>733</v>
      </c>
      <c r="D448" t="s">
        <v>36</v>
      </c>
      <c r="E448" t="s">
        <v>37</v>
      </c>
      <c r="F448" t="s">
        <v>38</v>
      </c>
      <c r="G448" t="s">
        <v>39</v>
      </c>
      <c r="H448">
        <v>2023</v>
      </c>
      <c r="I448" t="s">
        <v>271</v>
      </c>
      <c r="J448"/>
      <c r="K448"/>
      <c r="L448"/>
      <c r="M448">
        <v>2023</v>
      </c>
      <c r="N448"/>
      <c r="O448" t="s">
        <v>45</v>
      </c>
      <c r="P448"/>
      <c r="Q448" t="s">
        <v>1446</v>
      </c>
      <c r="R448" s="64" t="s">
        <v>751</v>
      </c>
      <c r="S448" s="95">
        <f>S438+S439</f>
        <v>166846976.01599997</v>
      </c>
    </row>
    <row r="449" spans="1:19" s="7" customFormat="1" x14ac:dyDescent="0.3">
      <c r="A449" t="s">
        <v>557</v>
      </c>
      <c r="B449"/>
      <c r="C449" t="s">
        <v>733</v>
      </c>
      <c r="D449" t="s">
        <v>36</v>
      </c>
      <c r="E449" t="s">
        <v>37</v>
      </c>
      <c r="F449" t="s">
        <v>38</v>
      </c>
      <c r="G449" t="s">
        <v>39</v>
      </c>
      <c r="H449">
        <v>2023</v>
      </c>
      <c r="I449" t="s">
        <v>271</v>
      </c>
      <c r="J449"/>
      <c r="K449"/>
      <c r="L449"/>
      <c r="M449">
        <v>2023</v>
      </c>
      <c r="N449"/>
      <c r="O449" t="s">
        <v>45</v>
      </c>
      <c r="P449"/>
      <c r="Q449" t="s">
        <v>1447</v>
      </c>
      <c r="R449" s="64" t="s">
        <v>752</v>
      </c>
      <c r="S449" s="95">
        <f>S440</f>
        <v>512955.85499999998</v>
      </c>
    </row>
    <row r="450" spans="1:19" s="7" customFormat="1" x14ac:dyDescent="0.3">
      <c r="A450" t="s">
        <v>557</v>
      </c>
      <c r="B450"/>
      <c r="C450" t="s">
        <v>733</v>
      </c>
      <c r="D450" t="s">
        <v>36</v>
      </c>
      <c r="E450" t="s">
        <v>37</v>
      </c>
      <c r="F450" t="s">
        <v>38</v>
      </c>
      <c r="G450" t="s">
        <v>39</v>
      </c>
      <c r="H450">
        <v>2023</v>
      </c>
      <c r="I450" t="s">
        <v>271</v>
      </c>
      <c r="J450"/>
      <c r="K450"/>
      <c r="L450"/>
      <c r="M450">
        <v>2023</v>
      </c>
      <c r="N450"/>
      <c r="O450" t="s">
        <v>45</v>
      </c>
      <c r="P450"/>
      <c r="Q450"/>
      <c r="R450" s="96" t="s">
        <v>753</v>
      </c>
      <c r="S450" s="97">
        <f>S444+S446</f>
        <v>259556960.04600003</v>
      </c>
    </row>
    <row r="451" spans="1:19" s="7" customFormat="1" x14ac:dyDescent="0.3">
      <c r="A451" t="s">
        <v>557</v>
      </c>
      <c r="B451"/>
      <c r="C451" t="s">
        <v>733</v>
      </c>
      <c r="D451" t="s">
        <v>36</v>
      </c>
      <c r="E451" t="s">
        <v>37</v>
      </c>
      <c r="F451" t="s">
        <v>38</v>
      </c>
      <c r="G451" t="s">
        <v>39</v>
      </c>
      <c r="H451">
        <v>2023</v>
      </c>
      <c r="I451" t="s">
        <v>271</v>
      </c>
      <c r="J451"/>
      <c r="K451"/>
      <c r="L451"/>
      <c r="M451">
        <v>2023</v>
      </c>
      <c r="N451"/>
      <c r="O451" t="s">
        <v>45</v>
      </c>
      <c r="P451"/>
      <c r="Q451" t="s">
        <v>1448</v>
      </c>
      <c r="R451" s="92" t="s">
        <v>754</v>
      </c>
      <c r="S451" s="99">
        <v>57607252.990999997</v>
      </c>
    </row>
    <row r="452" spans="1:19" s="7" customFormat="1" x14ac:dyDescent="0.3">
      <c r="A452" t="s">
        <v>557</v>
      </c>
      <c r="B452"/>
      <c r="C452" t="s">
        <v>733</v>
      </c>
      <c r="D452" t="s">
        <v>36</v>
      </c>
      <c r="E452" t="s">
        <v>37</v>
      </c>
      <c r="F452" t="s">
        <v>38</v>
      </c>
      <c r="G452" t="s">
        <v>39</v>
      </c>
      <c r="H452">
        <v>2023</v>
      </c>
      <c r="I452" t="s">
        <v>271</v>
      </c>
      <c r="J452"/>
      <c r="K452"/>
      <c r="L452"/>
      <c r="M452">
        <v>2023</v>
      </c>
      <c r="N452"/>
      <c r="O452" t="s">
        <v>45</v>
      </c>
      <c r="P452"/>
      <c r="Q452" t="s">
        <v>1438</v>
      </c>
      <c r="R452" t="s">
        <v>755</v>
      </c>
      <c r="S452" s="98">
        <v>57607552.990999997</v>
      </c>
    </row>
    <row r="453" spans="1:19" s="7" customFormat="1" x14ac:dyDescent="0.3">
      <c r="A453" t="s">
        <v>557</v>
      </c>
      <c r="B453"/>
      <c r="C453" t="s">
        <v>733</v>
      </c>
      <c r="D453" t="s">
        <v>36</v>
      </c>
      <c r="E453" t="s">
        <v>37</v>
      </c>
      <c r="F453" t="s">
        <v>38</v>
      </c>
      <c r="G453" t="s">
        <v>39</v>
      </c>
      <c r="H453">
        <v>2023</v>
      </c>
      <c r="I453" t="s">
        <v>271</v>
      </c>
      <c r="J453"/>
      <c r="K453"/>
      <c r="L453"/>
      <c r="M453">
        <v>2023</v>
      </c>
      <c r="N453"/>
      <c r="O453" t="s">
        <v>45</v>
      </c>
      <c r="P453"/>
      <c r="Q453" t="s">
        <v>1432</v>
      </c>
      <c r="R453" s="92" t="s">
        <v>756</v>
      </c>
      <c r="S453" s="99">
        <v>62280417.979999997</v>
      </c>
    </row>
    <row r="454" spans="1:19" s="7" customFormat="1" x14ac:dyDescent="0.3">
      <c r="A454" t="s">
        <v>557</v>
      </c>
      <c r="B454"/>
      <c r="C454" t="s">
        <v>733</v>
      </c>
      <c r="D454" t="s">
        <v>36</v>
      </c>
      <c r="E454" t="s">
        <v>37</v>
      </c>
      <c r="F454" t="s">
        <v>38</v>
      </c>
      <c r="G454" t="s">
        <v>39</v>
      </c>
      <c r="H454">
        <v>2023</v>
      </c>
      <c r="I454" t="s">
        <v>271</v>
      </c>
      <c r="J454"/>
      <c r="K454"/>
      <c r="L454"/>
      <c r="M454">
        <v>2023</v>
      </c>
      <c r="N454"/>
      <c r="O454" t="s">
        <v>45</v>
      </c>
      <c r="P454"/>
      <c r="Q454" t="s">
        <v>1438</v>
      </c>
      <c r="R454" t="s">
        <v>757</v>
      </c>
      <c r="S454" s="90">
        <v>52153517.979999997</v>
      </c>
    </row>
    <row r="455" spans="1:19" s="7" customFormat="1" x14ac:dyDescent="0.3">
      <c r="A455" t="s">
        <v>557</v>
      </c>
      <c r="B455"/>
      <c r="C455" t="s">
        <v>733</v>
      </c>
      <c r="D455" t="s">
        <v>36</v>
      </c>
      <c r="E455" t="s">
        <v>37</v>
      </c>
      <c r="F455" t="s">
        <v>38</v>
      </c>
      <c r="G455" t="s">
        <v>39</v>
      </c>
      <c r="H455">
        <v>2023</v>
      </c>
      <c r="I455" t="s">
        <v>271</v>
      </c>
      <c r="J455"/>
      <c r="K455"/>
      <c r="L455"/>
      <c r="M455">
        <v>2023</v>
      </c>
      <c r="N455"/>
      <c r="O455" t="s">
        <v>45</v>
      </c>
      <c r="P455"/>
      <c r="Q455" t="s">
        <v>1449</v>
      </c>
      <c r="R455" t="s">
        <v>758</v>
      </c>
      <c r="S455" s="90">
        <v>10126900</v>
      </c>
    </row>
    <row r="456" spans="1:19" s="7" customFormat="1" x14ac:dyDescent="0.3">
      <c r="A456" t="s">
        <v>557</v>
      </c>
      <c r="B456"/>
      <c r="C456" t="s">
        <v>733</v>
      </c>
      <c r="D456" t="s">
        <v>36</v>
      </c>
      <c r="E456" t="s">
        <v>37</v>
      </c>
      <c r="F456" t="s">
        <v>38</v>
      </c>
      <c r="G456" t="s">
        <v>39</v>
      </c>
      <c r="H456">
        <v>2023</v>
      </c>
      <c r="I456" t="s">
        <v>271</v>
      </c>
      <c r="J456"/>
      <c r="K456"/>
      <c r="L456"/>
      <c r="M456">
        <v>2023</v>
      </c>
      <c r="N456"/>
      <c r="O456" t="s">
        <v>45</v>
      </c>
      <c r="P456"/>
      <c r="Q456" t="s">
        <v>1450</v>
      </c>
      <c r="R456" s="92" t="s">
        <v>759</v>
      </c>
      <c r="S456" s="99">
        <v>6822723.7220000001</v>
      </c>
    </row>
    <row r="457" spans="1:19" s="7" customFormat="1" x14ac:dyDescent="0.3">
      <c r="A457" t="s">
        <v>557</v>
      </c>
      <c r="B457"/>
      <c r="C457" t="s">
        <v>733</v>
      </c>
      <c r="D457" t="s">
        <v>36</v>
      </c>
      <c r="E457" t="s">
        <v>37</v>
      </c>
      <c r="F457" t="s">
        <v>38</v>
      </c>
      <c r="G457" t="s">
        <v>39</v>
      </c>
      <c r="H457">
        <v>2023</v>
      </c>
      <c r="I457" t="s">
        <v>271</v>
      </c>
      <c r="J457"/>
      <c r="K457"/>
      <c r="L457"/>
      <c r="M457">
        <v>2023</v>
      </c>
      <c r="N457"/>
      <c r="O457" t="s">
        <v>45</v>
      </c>
      <c r="P457"/>
      <c r="Q457" t="s">
        <v>1451</v>
      </c>
      <c r="R457" s="92" t="s">
        <v>760</v>
      </c>
      <c r="S457" s="99">
        <v>1735653.1029999999</v>
      </c>
    </row>
    <row r="458" spans="1:19" s="7" customFormat="1" x14ac:dyDescent="0.3">
      <c r="A458" t="s">
        <v>557</v>
      </c>
      <c r="B458"/>
      <c r="C458" t="s">
        <v>733</v>
      </c>
      <c r="D458" t="s">
        <v>36</v>
      </c>
      <c r="E458" t="s">
        <v>37</v>
      </c>
      <c r="F458" t="s">
        <v>38</v>
      </c>
      <c r="G458" t="s">
        <v>39</v>
      </c>
      <c r="H458">
        <v>2023</v>
      </c>
      <c r="I458" t="s">
        <v>271</v>
      </c>
      <c r="J458"/>
      <c r="K458"/>
      <c r="L458"/>
      <c r="M458">
        <v>2023</v>
      </c>
      <c r="N458"/>
      <c r="O458" t="s">
        <v>45</v>
      </c>
      <c r="P458"/>
      <c r="Q458" t="s">
        <v>1452</v>
      </c>
      <c r="R458" s="92" t="s">
        <v>761</v>
      </c>
      <c r="S458" s="99">
        <v>380796661.44199997</v>
      </c>
    </row>
    <row r="459" spans="1:19" s="7" customFormat="1" x14ac:dyDescent="0.3">
      <c r="A459" t="s">
        <v>557</v>
      </c>
      <c r="B459"/>
      <c r="C459" t="s">
        <v>733</v>
      </c>
      <c r="D459" t="s">
        <v>36</v>
      </c>
      <c r="E459" t="s">
        <v>37</v>
      </c>
      <c r="F459" t="s">
        <v>38</v>
      </c>
      <c r="G459" t="s">
        <v>39</v>
      </c>
      <c r="H459">
        <v>2023</v>
      </c>
      <c r="I459" t="s">
        <v>271</v>
      </c>
      <c r="J459"/>
      <c r="K459"/>
      <c r="L459"/>
      <c r="M459">
        <v>2023</v>
      </c>
      <c r="N459"/>
      <c r="O459" t="s">
        <v>45</v>
      </c>
      <c r="P459"/>
      <c r="Q459" t="s">
        <v>1452</v>
      </c>
      <c r="R459" t="s">
        <v>762</v>
      </c>
      <c r="S459" s="90">
        <v>113900864.18700001</v>
      </c>
    </row>
    <row r="460" spans="1:19" s="7" customFormat="1" x14ac:dyDescent="0.3">
      <c r="A460" t="s">
        <v>557</v>
      </c>
      <c r="B460"/>
      <c r="C460" t="s">
        <v>733</v>
      </c>
      <c r="D460" t="s">
        <v>36</v>
      </c>
      <c r="E460" t="s">
        <v>37</v>
      </c>
      <c r="F460" t="s">
        <v>38</v>
      </c>
      <c r="G460" t="s">
        <v>39</v>
      </c>
      <c r="H460">
        <v>2023</v>
      </c>
      <c r="I460" t="s">
        <v>271</v>
      </c>
      <c r="J460"/>
      <c r="K460"/>
      <c r="L460"/>
      <c r="M460">
        <v>2023</v>
      </c>
      <c r="N460"/>
      <c r="O460" t="s">
        <v>45</v>
      </c>
      <c r="P460"/>
      <c r="Q460" t="s">
        <v>1453</v>
      </c>
      <c r="R460" t="s">
        <v>767</v>
      </c>
      <c r="S460" s="90">
        <v>6822723.7220000001</v>
      </c>
    </row>
    <row r="461" spans="1:19" s="7" customFormat="1" x14ac:dyDescent="0.3">
      <c r="A461" t="s">
        <v>557</v>
      </c>
      <c r="B461"/>
      <c r="C461" t="s">
        <v>733</v>
      </c>
      <c r="D461" t="s">
        <v>36</v>
      </c>
      <c r="E461" t="s">
        <v>37</v>
      </c>
      <c r="F461" t="s">
        <v>38</v>
      </c>
      <c r="G461" t="s">
        <v>39</v>
      </c>
      <c r="H461">
        <v>2023</v>
      </c>
      <c r="I461" t="s">
        <v>271</v>
      </c>
      <c r="J461"/>
      <c r="K461"/>
      <c r="L461"/>
      <c r="M461">
        <v>2023</v>
      </c>
      <c r="N461"/>
      <c r="O461" t="s">
        <v>45</v>
      </c>
      <c r="P461"/>
      <c r="Q461" t="s">
        <v>1453</v>
      </c>
      <c r="R461" t="s">
        <v>766</v>
      </c>
      <c r="S461" s="90">
        <v>261777697.03099999</v>
      </c>
    </row>
    <row r="462" spans="1:19" s="7" customFormat="1" x14ac:dyDescent="0.3">
      <c r="A462" t="s">
        <v>557</v>
      </c>
      <c r="B462"/>
      <c r="C462" t="s">
        <v>733</v>
      </c>
      <c r="D462" t="s">
        <v>36</v>
      </c>
      <c r="E462" t="s">
        <v>37</v>
      </c>
      <c r="F462" t="s">
        <v>38</v>
      </c>
      <c r="G462" t="s">
        <v>39</v>
      </c>
      <c r="H462">
        <v>2023</v>
      </c>
      <c r="I462" t="s">
        <v>271</v>
      </c>
      <c r="J462"/>
      <c r="K462"/>
      <c r="L462"/>
      <c r="M462">
        <v>2023</v>
      </c>
      <c r="N462"/>
      <c r="O462" t="s">
        <v>45</v>
      </c>
      <c r="P462"/>
      <c r="Q462" t="s">
        <v>1454</v>
      </c>
      <c r="R462" t="s">
        <v>763</v>
      </c>
      <c r="S462" s="90">
        <v>1004358.373</v>
      </c>
    </row>
    <row r="463" spans="1:19" s="7" customFormat="1" x14ac:dyDescent="0.3">
      <c r="A463" t="s">
        <v>557</v>
      </c>
      <c r="B463"/>
      <c r="C463" t="s">
        <v>733</v>
      </c>
      <c r="D463" t="s">
        <v>36</v>
      </c>
      <c r="E463" t="s">
        <v>37</v>
      </c>
      <c r="F463" t="s">
        <v>38</v>
      </c>
      <c r="G463" t="s">
        <v>39</v>
      </c>
      <c r="H463">
        <v>2023</v>
      </c>
      <c r="I463" t="s">
        <v>271</v>
      </c>
      <c r="J463"/>
      <c r="K463"/>
      <c r="L463"/>
      <c r="M463">
        <v>2023</v>
      </c>
      <c r="N463"/>
      <c r="O463" t="s">
        <v>45</v>
      </c>
      <c r="P463"/>
      <c r="Q463" t="s">
        <v>1455</v>
      </c>
      <c r="R463" t="s">
        <v>764</v>
      </c>
      <c r="S463" s="90">
        <v>1735653.1029999999</v>
      </c>
    </row>
    <row r="464" spans="1:19" s="7" customFormat="1" x14ac:dyDescent="0.3">
      <c r="A464" t="s">
        <v>557</v>
      </c>
      <c r="B464"/>
      <c r="C464" t="s">
        <v>733</v>
      </c>
      <c r="D464" t="s">
        <v>36</v>
      </c>
      <c r="E464" t="s">
        <v>37</v>
      </c>
      <c r="F464" t="s">
        <v>38</v>
      </c>
      <c r="G464" t="s">
        <v>39</v>
      </c>
      <c r="H464">
        <v>2023</v>
      </c>
      <c r="I464" t="s">
        <v>271</v>
      </c>
      <c r="J464"/>
      <c r="K464"/>
      <c r="L464"/>
      <c r="M464">
        <v>2023</v>
      </c>
      <c r="N464"/>
      <c r="O464" t="s">
        <v>45</v>
      </c>
      <c r="P464"/>
      <c r="Q464" t="s">
        <v>1442</v>
      </c>
      <c r="R464" t="s">
        <v>765</v>
      </c>
      <c r="S464" s="90">
        <v>4113741.8509999998</v>
      </c>
    </row>
    <row r="465" spans="1:19" s="7" customFormat="1" x14ac:dyDescent="0.3">
      <c r="A465" t="s">
        <v>557</v>
      </c>
      <c r="B465"/>
      <c r="C465" t="s">
        <v>733</v>
      </c>
      <c r="D465" t="s">
        <v>36</v>
      </c>
      <c r="E465" t="s">
        <v>37</v>
      </c>
      <c r="F465" t="s">
        <v>38</v>
      </c>
      <c r="G465" t="s">
        <v>39</v>
      </c>
      <c r="H465">
        <v>2023</v>
      </c>
      <c r="I465" t="s">
        <v>271</v>
      </c>
      <c r="J465"/>
      <c r="K465"/>
      <c r="L465"/>
      <c r="M465">
        <v>2023</v>
      </c>
      <c r="N465"/>
      <c r="O465" t="s">
        <v>45</v>
      </c>
      <c r="P465"/>
      <c r="Q465" t="s">
        <v>1456</v>
      </c>
      <c r="R465" s="64" t="s">
        <v>768</v>
      </c>
      <c r="S465" s="95">
        <f>S456</f>
        <v>6822723.7220000001</v>
      </c>
    </row>
    <row r="466" spans="1:19" s="7" customFormat="1" x14ac:dyDescent="0.3">
      <c r="A466" t="s">
        <v>557</v>
      </c>
      <c r="B466"/>
      <c r="C466" t="s">
        <v>733</v>
      </c>
      <c r="D466" t="s">
        <v>36</v>
      </c>
      <c r="E466" t="s">
        <v>37</v>
      </c>
      <c r="F466" t="s">
        <v>38</v>
      </c>
      <c r="G466" t="s">
        <v>39</v>
      </c>
      <c r="H466">
        <v>2023</v>
      </c>
      <c r="I466" t="s">
        <v>271</v>
      </c>
      <c r="J466"/>
      <c r="K466"/>
      <c r="L466"/>
      <c r="M466">
        <v>2023</v>
      </c>
      <c r="N466"/>
      <c r="O466" t="s">
        <v>45</v>
      </c>
      <c r="P466"/>
      <c r="Q466" t="s">
        <v>1457</v>
      </c>
      <c r="R466" s="64" t="s">
        <v>769</v>
      </c>
      <c r="S466" s="95">
        <f>S457</f>
        <v>1735653.1029999999</v>
      </c>
    </row>
    <row r="467" spans="1:19" s="7" customFormat="1" x14ac:dyDescent="0.3">
      <c r="A467" t="s">
        <v>557</v>
      </c>
      <c r="B467"/>
      <c r="C467" t="s">
        <v>733</v>
      </c>
      <c r="D467" t="s">
        <v>36</v>
      </c>
      <c r="E467" t="s">
        <v>37</v>
      </c>
      <c r="F467" t="s">
        <v>38</v>
      </c>
      <c r="G467" t="s">
        <v>39</v>
      </c>
      <c r="H467">
        <v>2023</v>
      </c>
      <c r="I467" t="s">
        <v>271</v>
      </c>
      <c r="J467"/>
      <c r="K467"/>
      <c r="L467"/>
      <c r="M467">
        <v>2023</v>
      </c>
      <c r="N467"/>
      <c r="O467" t="s">
        <v>45</v>
      </c>
      <c r="P467"/>
      <c r="Q467" t="s">
        <v>1458</v>
      </c>
      <c r="R467" s="64" t="s">
        <v>770</v>
      </c>
      <c r="S467" s="95">
        <f>S451+S453+S458</f>
        <v>500684332.41299999</v>
      </c>
    </row>
    <row r="468" spans="1:19" s="7" customFormat="1" x14ac:dyDescent="0.3">
      <c r="A468" t="s">
        <v>557</v>
      </c>
      <c r="B468"/>
      <c r="C468" t="s">
        <v>733</v>
      </c>
      <c r="D468" t="s">
        <v>36</v>
      </c>
      <c r="E468" t="s">
        <v>37</v>
      </c>
      <c r="F468" t="s">
        <v>38</v>
      </c>
      <c r="G468" t="s">
        <v>39</v>
      </c>
      <c r="H468">
        <v>2023</v>
      </c>
      <c r="I468" t="s">
        <v>271</v>
      </c>
      <c r="J468"/>
      <c r="K468"/>
      <c r="L468"/>
      <c r="M468">
        <v>2023</v>
      </c>
      <c r="N468"/>
      <c r="O468" t="s">
        <v>45</v>
      </c>
      <c r="P468"/>
      <c r="Q468" t="s">
        <v>1459</v>
      </c>
      <c r="R468" s="101" t="s">
        <v>771</v>
      </c>
      <c r="S468" s="102">
        <f>S451</f>
        <v>57607252.990999997</v>
      </c>
    </row>
    <row r="469" spans="1:19" s="7" customFormat="1" x14ac:dyDescent="0.3">
      <c r="A469" t="s">
        <v>557</v>
      </c>
      <c r="B469"/>
      <c r="C469" t="s">
        <v>733</v>
      </c>
      <c r="D469" t="s">
        <v>36</v>
      </c>
      <c r="E469" t="s">
        <v>37</v>
      </c>
      <c r="F469" t="s">
        <v>38</v>
      </c>
      <c r="G469" t="s">
        <v>39</v>
      </c>
      <c r="H469">
        <v>2023</v>
      </c>
      <c r="I469" t="s">
        <v>271</v>
      </c>
      <c r="J469"/>
      <c r="K469"/>
      <c r="L469"/>
      <c r="M469">
        <v>2023</v>
      </c>
      <c r="N469"/>
      <c r="O469" t="s">
        <v>45</v>
      </c>
      <c r="P469"/>
      <c r="Q469" t="s">
        <v>1453</v>
      </c>
      <c r="R469" s="101" t="s">
        <v>785</v>
      </c>
      <c r="S469" s="102">
        <f>S452</f>
        <v>57607552.990999997</v>
      </c>
    </row>
    <row r="470" spans="1:19" s="7" customFormat="1" x14ac:dyDescent="0.3">
      <c r="A470" t="s">
        <v>557</v>
      </c>
      <c r="B470"/>
      <c r="C470" t="s">
        <v>733</v>
      </c>
      <c r="D470" t="s">
        <v>36</v>
      </c>
      <c r="E470" t="s">
        <v>37</v>
      </c>
      <c r="F470" t="s">
        <v>38</v>
      </c>
      <c r="G470" t="s">
        <v>39</v>
      </c>
      <c r="H470">
        <v>2023</v>
      </c>
      <c r="I470" t="s">
        <v>271</v>
      </c>
      <c r="J470"/>
      <c r="K470"/>
      <c r="L470"/>
      <c r="M470">
        <v>2023</v>
      </c>
      <c r="N470"/>
      <c r="O470" t="s">
        <v>45</v>
      </c>
      <c r="P470"/>
      <c r="Q470"/>
      <c r="R470" s="101" t="s">
        <v>786</v>
      </c>
      <c r="S470" s="102">
        <f>S453</f>
        <v>62280417.979999997</v>
      </c>
    </row>
    <row r="471" spans="1:19" s="7" customFormat="1" x14ac:dyDescent="0.3">
      <c r="A471" t="s">
        <v>557</v>
      </c>
      <c r="B471"/>
      <c r="C471" t="s">
        <v>733</v>
      </c>
      <c r="D471" t="s">
        <v>36</v>
      </c>
      <c r="E471" t="s">
        <v>37</v>
      </c>
      <c r="F471" t="s">
        <v>38</v>
      </c>
      <c r="G471" t="s">
        <v>39</v>
      </c>
      <c r="H471">
        <v>2023</v>
      </c>
      <c r="I471" t="s">
        <v>271</v>
      </c>
      <c r="J471"/>
      <c r="K471"/>
      <c r="L471"/>
      <c r="M471">
        <v>2023</v>
      </c>
      <c r="N471"/>
      <c r="O471" t="s">
        <v>45</v>
      </c>
      <c r="P471"/>
      <c r="Q471" t="s">
        <v>1453</v>
      </c>
      <c r="R471" s="101" t="s">
        <v>787</v>
      </c>
      <c r="S471" s="102">
        <f>S454</f>
        <v>52153517.979999997</v>
      </c>
    </row>
    <row r="472" spans="1:19" s="7" customFormat="1" x14ac:dyDescent="0.3">
      <c r="A472" t="s">
        <v>557</v>
      </c>
      <c r="B472"/>
      <c r="C472" t="s">
        <v>733</v>
      </c>
      <c r="D472" t="s">
        <v>36</v>
      </c>
      <c r="E472" t="s">
        <v>37</v>
      </c>
      <c r="F472" t="s">
        <v>38</v>
      </c>
      <c r="G472" t="s">
        <v>39</v>
      </c>
      <c r="H472">
        <v>2023</v>
      </c>
      <c r="I472" t="s">
        <v>271</v>
      </c>
      <c r="J472"/>
      <c r="K472"/>
      <c r="L472"/>
      <c r="M472">
        <v>2023</v>
      </c>
      <c r="N472"/>
      <c r="O472" t="s">
        <v>45</v>
      </c>
      <c r="P472"/>
      <c r="Q472" t="s">
        <v>1460</v>
      </c>
      <c r="R472" s="101" t="s">
        <v>788</v>
      </c>
      <c r="S472" s="102">
        <f>S455</f>
        <v>10126900</v>
      </c>
    </row>
    <row r="473" spans="1:19" s="7" customFormat="1" x14ac:dyDescent="0.3">
      <c r="A473" t="s">
        <v>557</v>
      </c>
      <c r="B473"/>
      <c r="C473" t="s">
        <v>733</v>
      </c>
      <c r="D473" t="s">
        <v>36</v>
      </c>
      <c r="E473" t="s">
        <v>37</v>
      </c>
      <c r="F473" t="s">
        <v>38</v>
      </c>
      <c r="G473" t="s">
        <v>39</v>
      </c>
      <c r="H473">
        <v>2023</v>
      </c>
      <c r="I473" t="s">
        <v>271</v>
      </c>
      <c r="J473"/>
      <c r="K473"/>
      <c r="L473"/>
      <c r="M473">
        <v>2023</v>
      </c>
      <c r="N473"/>
      <c r="O473" t="s">
        <v>45</v>
      </c>
      <c r="P473"/>
      <c r="Q473" t="s">
        <v>1461</v>
      </c>
      <c r="R473" s="101" t="s">
        <v>789</v>
      </c>
      <c r="S473" s="102">
        <f>S456+S457+S458</f>
        <v>389355038.26699996</v>
      </c>
    </row>
    <row r="474" spans="1:19" s="7" customFormat="1" x14ac:dyDescent="0.3">
      <c r="A474" t="s">
        <v>557</v>
      </c>
      <c r="B474"/>
      <c r="C474" t="s">
        <v>733</v>
      </c>
      <c r="D474" t="s">
        <v>36</v>
      </c>
      <c r="E474" t="s">
        <v>37</v>
      </c>
      <c r="F474" t="s">
        <v>38</v>
      </c>
      <c r="G474" t="s">
        <v>39</v>
      </c>
      <c r="H474">
        <v>2023</v>
      </c>
      <c r="I474" t="s">
        <v>271</v>
      </c>
      <c r="J474"/>
      <c r="K474"/>
      <c r="L474"/>
      <c r="M474">
        <v>2023</v>
      </c>
      <c r="N474"/>
      <c r="O474" t="s">
        <v>45</v>
      </c>
      <c r="P474"/>
      <c r="Q474" t="s">
        <v>1462</v>
      </c>
      <c r="R474" s="101" t="s">
        <v>790</v>
      </c>
      <c r="S474" s="102">
        <f>S459</f>
        <v>113900864.18700001</v>
      </c>
    </row>
    <row r="475" spans="1:19" s="7" customFormat="1" x14ac:dyDescent="0.3">
      <c r="A475" t="s">
        <v>557</v>
      </c>
      <c r="B475"/>
      <c r="C475" t="s">
        <v>733</v>
      </c>
      <c r="D475" t="s">
        <v>36</v>
      </c>
      <c r="E475" t="s">
        <v>37</v>
      </c>
      <c r="F475" t="s">
        <v>38</v>
      </c>
      <c r="G475" t="s">
        <v>39</v>
      </c>
      <c r="H475">
        <v>2023</v>
      </c>
      <c r="I475" t="s">
        <v>271</v>
      </c>
      <c r="J475"/>
      <c r="K475"/>
      <c r="L475"/>
      <c r="M475">
        <v>2023</v>
      </c>
      <c r="N475"/>
      <c r="O475" t="s">
        <v>45</v>
      </c>
      <c r="P475"/>
      <c r="Q475" t="s">
        <v>1463</v>
      </c>
      <c r="R475" s="101" t="s">
        <v>791</v>
      </c>
      <c r="S475" s="102">
        <f>S460+S461</f>
        <v>268600420.75299996</v>
      </c>
    </row>
    <row r="476" spans="1:19" s="7" customFormat="1" x14ac:dyDescent="0.3">
      <c r="A476" t="s">
        <v>557</v>
      </c>
      <c r="B476"/>
      <c r="C476" t="s">
        <v>733</v>
      </c>
      <c r="D476" t="s">
        <v>36</v>
      </c>
      <c r="E476" t="s">
        <v>37</v>
      </c>
      <c r="F476" t="s">
        <v>38</v>
      </c>
      <c r="G476" t="s">
        <v>39</v>
      </c>
      <c r="H476">
        <v>2023</v>
      </c>
      <c r="I476" t="s">
        <v>271</v>
      </c>
      <c r="J476"/>
      <c r="K476"/>
      <c r="L476"/>
      <c r="M476">
        <v>2023</v>
      </c>
      <c r="N476"/>
      <c r="O476" t="s">
        <v>45</v>
      </c>
      <c r="P476"/>
      <c r="Q476" t="s">
        <v>1464</v>
      </c>
      <c r="R476" s="101" t="s">
        <v>792</v>
      </c>
      <c r="S476" s="102">
        <f>S462</f>
        <v>1004358.373</v>
      </c>
    </row>
    <row r="477" spans="1:19" s="7" customFormat="1" x14ac:dyDescent="0.3">
      <c r="A477" t="s">
        <v>557</v>
      </c>
      <c r="B477"/>
      <c r="C477" t="s">
        <v>733</v>
      </c>
      <c r="D477" t="s">
        <v>36</v>
      </c>
      <c r="E477" t="s">
        <v>37</v>
      </c>
      <c r="F477" t="s">
        <v>38</v>
      </c>
      <c r="G477" t="s">
        <v>39</v>
      </c>
      <c r="H477">
        <v>2023</v>
      </c>
      <c r="I477" t="s">
        <v>271</v>
      </c>
      <c r="J477"/>
      <c r="K477"/>
      <c r="L477"/>
      <c r="M477">
        <v>2023</v>
      </c>
      <c r="N477"/>
      <c r="O477" t="s">
        <v>45</v>
      </c>
      <c r="P477"/>
      <c r="Q477"/>
      <c r="R477" s="101" t="s">
        <v>793</v>
      </c>
      <c r="S477" s="102">
        <f>S463+S464</f>
        <v>5849394.9539999999</v>
      </c>
    </row>
    <row r="478" spans="1:19" s="7" customFormat="1" x14ac:dyDescent="0.3">
      <c r="A478" t="s">
        <v>557</v>
      </c>
      <c r="B478"/>
      <c r="C478" t="s">
        <v>733</v>
      </c>
      <c r="D478" t="s">
        <v>36</v>
      </c>
      <c r="E478" t="s">
        <v>37</v>
      </c>
      <c r="F478" t="s">
        <v>38</v>
      </c>
      <c r="G478" t="s">
        <v>39</v>
      </c>
      <c r="H478">
        <v>2023</v>
      </c>
      <c r="I478" t="s">
        <v>271</v>
      </c>
      <c r="J478"/>
      <c r="K478"/>
      <c r="L478"/>
      <c r="M478">
        <v>2023</v>
      </c>
      <c r="N478"/>
      <c r="O478" t="s">
        <v>45</v>
      </c>
      <c r="P478"/>
      <c r="Q478"/>
      <c r="R478" s="103" t="s">
        <v>794</v>
      </c>
      <c r="S478" s="102">
        <f>S451+S453+S456+S457+S458</f>
        <v>509242709.23799998</v>
      </c>
    </row>
    <row r="479" spans="1:19" s="7" customFormat="1" x14ac:dyDescent="0.3">
      <c r="A479" t="s">
        <v>557</v>
      </c>
      <c r="B479"/>
      <c r="C479" t="s">
        <v>733</v>
      </c>
      <c r="D479" t="s">
        <v>36</v>
      </c>
      <c r="E479" t="s">
        <v>37</v>
      </c>
      <c r="F479" t="s">
        <v>38</v>
      </c>
      <c r="G479" t="s">
        <v>39</v>
      </c>
      <c r="H479">
        <v>2023</v>
      </c>
      <c r="I479" t="s">
        <v>271</v>
      </c>
      <c r="J479"/>
      <c r="K479"/>
      <c r="L479"/>
      <c r="M479">
        <v>2023</v>
      </c>
      <c r="N479"/>
      <c r="O479" t="s">
        <v>45</v>
      </c>
      <c r="P479"/>
      <c r="Q479"/>
      <c r="R479" t="s">
        <v>772</v>
      </c>
      <c r="S479" s="100">
        <v>23170000000</v>
      </c>
    </row>
    <row r="480" spans="1:19" s="7" customFormat="1" x14ac:dyDescent="0.3">
      <c r="A480" t="s">
        <v>557</v>
      </c>
      <c r="B480"/>
      <c r="C480" t="s">
        <v>733</v>
      </c>
      <c r="D480" t="s">
        <v>36</v>
      </c>
      <c r="E480" t="s">
        <v>37</v>
      </c>
      <c r="F480" t="s">
        <v>38</v>
      </c>
      <c r="G480" t="s">
        <v>39</v>
      </c>
      <c r="H480">
        <v>2023</v>
      </c>
      <c r="I480" t="s">
        <v>271</v>
      </c>
      <c r="J480"/>
      <c r="K480"/>
      <c r="L480"/>
      <c r="M480">
        <v>2023</v>
      </c>
      <c r="N480"/>
      <c r="O480" t="s">
        <v>45</v>
      </c>
      <c r="P480"/>
      <c r="Q480"/>
      <c r="R480" t="s">
        <v>773</v>
      </c>
      <c r="S480" s="100">
        <v>4320000000</v>
      </c>
    </row>
    <row r="481" spans="1:19" s="7" customFormat="1" x14ac:dyDescent="0.3">
      <c r="A481" t="s">
        <v>557</v>
      </c>
      <c r="B481"/>
      <c r="C481" t="s">
        <v>733</v>
      </c>
      <c r="D481" t="s">
        <v>36</v>
      </c>
      <c r="E481" t="s">
        <v>37</v>
      </c>
      <c r="F481" t="s">
        <v>38</v>
      </c>
      <c r="G481" t="s">
        <v>39</v>
      </c>
      <c r="H481">
        <v>2023</v>
      </c>
      <c r="I481" t="s">
        <v>271</v>
      </c>
      <c r="J481"/>
      <c r="K481"/>
      <c r="L481"/>
      <c r="M481">
        <v>2023</v>
      </c>
      <c r="N481"/>
      <c r="O481" t="s">
        <v>45</v>
      </c>
      <c r="P481"/>
      <c r="Q481"/>
      <c r="R481" t="s">
        <v>774</v>
      </c>
      <c r="S481" s="100">
        <v>28490000000</v>
      </c>
    </row>
    <row r="482" spans="1:19" s="7" customFormat="1" x14ac:dyDescent="0.3">
      <c r="A482" t="s">
        <v>557</v>
      </c>
      <c r="B482"/>
      <c r="C482" t="s">
        <v>733</v>
      </c>
      <c r="D482" t="s">
        <v>36</v>
      </c>
      <c r="E482" t="s">
        <v>37</v>
      </c>
      <c r="F482" t="s">
        <v>38</v>
      </c>
      <c r="G482" t="s">
        <v>39</v>
      </c>
      <c r="H482">
        <v>2023</v>
      </c>
      <c r="I482" t="s">
        <v>271</v>
      </c>
      <c r="J482"/>
      <c r="K482"/>
      <c r="L482"/>
      <c r="M482">
        <v>2023</v>
      </c>
      <c r="N482"/>
      <c r="O482" t="s">
        <v>45</v>
      </c>
      <c r="P482"/>
      <c r="Q482"/>
      <c r="R482" t="s">
        <v>775</v>
      </c>
      <c r="S482" s="100">
        <v>21140000000</v>
      </c>
    </row>
    <row r="483" spans="1:19" s="7" customFormat="1" x14ac:dyDescent="0.3">
      <c r="A483" t="s">
        <v>557</v>
      </c>
      <c r="B483"/>
      <c r="C483" t="s">
        <v>733</v>
      </c>
      <c r="D483" t="s">
        <v>36</v>
      </c>
      <c r="E483" t="s">
        <v>37</v>
      </c>
      <c r="F483" t="s">
        <v>38</v>
      </c>
      <c r="G483" t="s">
        <v>39</v>
      </c>
      <c r="H483">
        <v>2023</v>
      </c>
      <c r="I483" t="s">
        <v>271</v>
      </c>
      <c r="J483"/>
      <c r="K483"/>
      <c r="L483"/>
      <c r="M483">
        <v>2023</v>
      </c>
      <c r="N483"/>
      <c r="O483" t="s">
        <v>45</v>
      </c>
      <c r="P483"/>
      <c r="Q483"/>
      <c r="R483" t="s">
        <v>776</v>
      </c>
      <c r="S483" s="100">
        <v>47550000000</v>
      </c>
    </row>
    <row r="484" spans="1:19" s="7" customFormat="1" x14ac:dyDescent="0.3">
      <c r="A484" t="s">
        <v>557</v>
      </c>
      <c r="B484"/>
      <c r="C484" t="s">
        <v>733</v>
      </c>
      <c r="D484" t="s">
        <v>36</v>
      </c>
      <c r="E484" t="s">
        <v>37</v>
      </c>
      <c r="F484" t="s">
        <v>38</v>
      </c>
      <c r="G484" t="s">
        <v>39</v>
      </c>
      <c r="H484">
        <v>2023</v>
      </c>
      <c r="I484" t="s">
        <v>271</v>
      </c>
      <c r="J484"/>
      <c r="K484"/>
      <c r="L484"/>
      <c r="M484">
        <v>2023</v>
      </c>
      <c r="N484"/>
      <c r="O484" t="s">
        <v>45</v>
      </c>
      <c r="P484"/>
      <c r="Q484"/>
      <c r="R484" t="s">
        <v>777</v>
      </c>
      <c r="S484" s="100">
        <v>151730000000</v>
      </c>
    </row>
    <row r="485" spans="1:19" s="7" customFormat="1" x14ac:dyDescent="0.3">
      <c r="A485" t="s">
        <v>557</v>
      </c>
      <c r="B485"/>
      <c r="C485" t="s">
        <v>733</v>
      </c>
      <c r="D485" t="s">
        <v>36</v>
      </c>
      <c r="E485" t="s">
        <v>37</v>
      </c>
      <c r="F485" t="s">
        <v>38</v>
      </c>
      <c r="G485" t="s">
        <v>39</v>
      </c>
      <c r="H485">
        <v>2023</v>
      </c>
      <c r="I485" t="s">
        <v>271</v>
      </c>
      <c r="J485"/>
      <c r="K485"/>
      <c r="L485"/>
      <c r="M485">
        <v>2023</v>
      </c>
      <c r="N485"/>
      <c r="O485" t="s">
        <v>45</v>
      </c>
      <c r="P485"/>
      <c r="Q485"/>
      <c r="R485" t="s">
        <v>778</v>
      </c>
      <c r="S485" s="100">
        <v>236450000000</v>
      </c>
    </row>
    <row r="486" spans="1:19" s="7" customFormat="1" x14ac:dyDescent="0.3">
      <c r="A486" t="s">
        <v>557</v>
      </c>
      <c r="B486"/>
      <c r="C486" t="s">
        <v>733</v>
      </c>
      <c r="D486" t="s">
        <v>36</v>
      </c>
      <c r="E486" t="s">
        <v>37</v>
      </c>
      <c r="F486" t="s">
        <v>38</v>
      </c>
      <c r="G486" t="s">
        <v>39</v>
      </c>
      <c r="H486">
        <v>2023</v>
      </c>
      <c r="I486" t="s">
        <v>271</v>
      </c>
      <c r="J486"/>
      <c r="K486"/>
      <c r="L486"/>
      <c r="M486">
        <v>2023</v>
      </c>
      <c r="N486"/>
      <c r="O486" t="s">
        <v>45</v>
      </c>
      <c r="P486"/>
      <c r="Q486"/>
      <c r="R486" t="s">
        <v>779</v>
      </c>
      <c r="S486" s="100">
        <v>94300000000</v>
      </c>
    </row>
    <row r="487" spans="1:19" s="7" customFormat="1" x14ac:dyDescent="0.3">
      <c r="A487" t="s">
        <v>557</v>
      </c>
      <c r="B487"/>
      <c r="C487" t="s">
        <v>733</v>
      </c>
      <c r="D487" t="s">
        <v>36</v>
      </c>
      <c r="E487" t="s">
        <v>37</v>
      </c>
      <c r="F487" t="s">
        <v>38</v>
      </c>
      <c r="G487" t="s">
        <v>39</v>
      </c>
      <c r="H487">
        <v>2023</v>
      </c>
      <c r="I487" t="s">
        <v>271</v>
      </c>
      <c r="J487"/>
      <c r="K487"/>
      <c r="L487"/>
      <c r="M487">
        <v>2023</v>
      </c>
      <c r="N487"/>
      <c r="O487" t="s">
        <v>45</v>
      </c>
      <c r="P487"/>
      <c r="Q487"/>
      <c r="R487" t="s">
        <v>780</v>
      </c>
      <c r="S487" s="100">
        <v>177550000000</v>
      </c>
    </row>
    <row r="488" spans="1:19" s="7" customFormat="1" x14ac:dyDescent="0.3">
      <c r="A488" t="s">
        <v>557</v>
      </c>
      <c r="B488"/>
      <c r="C488" t="s">
        <v>733</v>
      </c>
      <c r="D488" t="s">
        <v>36</v>
      </c>
      <c r="E488" t="s">
        <v>37</v>
      </c>
      <c r="F488" t="s">
        <v>38</v>
      </c>
      <c r="G488" t="s">
        <v>39</v>
      </c>
      <c r="H488">
        <v>2023</v>
      </c>
      <c r="I488" t="s">
        <v>271</v>
      </c>
      <c r="J488"/>
      <c r="K488"/>
      <c r="L488"/>
      <c r="M488">
        <v>2023</v>
      </c>
      <c r="N488"/>
      <c r="O488" t="s">
        <v>45</v>
      </c>
      <c r="P488"/>
      <c r="Q488"/>
      <c r="R488" t="s">
        <v>781</v>
      </c>
      <c r="S488" s="100">
        <v>421710000000</v>
      </c>
    </row>
    <row r="489" spans="1:19" s="7" customFormat="1" x14ac:dyDescent="0.3">
      <c r="A489" t="s">
        <v>557</v>
      </c>
      <c r="B489"/>
      <c r="C489" t="s">
        <v>733</v>
      </c>
      <c r="D489" t="s">
        <v>36</v>
      </c>
      <c r="E489" t="s">
        <v>37</v>
      </c>
      <c r="F489" t="s">
        <v>38</v>
      </c>
      <c r="G489" t="s">
        <v>39</v>
      </c>
      <c r="H489">
        <v>2023</v>
      </c>
      <c r="I489" t="s">
        <v>271</v>
      </c>
      <c r="J489"/>
      <c r="K489"/>
      <c r="L489"/>
      <c r="M489">
        <v>2023</v>
      </c>
      <c r="N489"/>
      <c r="O489" t="s">
        <v>45</v>
      </c>
      <c r="P489"/>
      <c r="Q489"/>
      <c r="R489" t="s">
        <v>782</v>
      </c>
      <c r="S489" s="100">
        <v>1090000000000</v>
      </c>
    </row>
    <row r="490" spans="1:19" s="7" customFormat="1" x14ac:dyDescent="0.3">
      <c r="A490" t="s">
        <v>557</v>
      </c>
      <c r="B490"/>
      <c r="C490" t="s">
        <v>733</v>
      </c>
      <c r="D490" t="s">
        <v>36</v>
      </c>
      <c r="E490" t="s">
        <v>37</v>
      </c>
      <c r="F490" t="s">
        <v>38</v>
      </c>
      <c r="G490" t="s">
        <v>39</v>
      </c>
      <c r="H490">
        <v>2023</v>
      </c>
      <c r="I490" t="s">
        <v>271</v>
      </c>
      <c r="J490"/>
      <c r="K490"/>
      <c r="L490"/>
      <c r="M490">
        <v>2023</v>
      </c>
      <c r="N490"/>
      <c r="O490" t="s">
        <v>45</v>
      </c>
      <c r="P490"/>
      <c r="Q490"/>
      <c r="R490" t="s">
        <v>783</v>
      </c>
      <c r="S490" s="90">
        <f>S478</f>
        <v>509242709.23799998</v>
      </c>
    </row>
    <row r="491" spans="1:19" s="7" customFormat="1" x14ac:dyDescent="0.3">
      <c r="A491" t="s">
        <v>557</v>
      </c>
      <c r="B491"/>
      <c r="C491" t="s">
        <v>733</v>
      </c>
      <c r="D491" t="s">
        <v>36</v>
      </c>
      <c r="E491" t="s">
        <v>37</v>
      </c>
      <c r="F491" t="s">
        <v>38</v>
      </c>
      <c r="G491" t="s">
        <v>39</v>
      </c>
      <c r="H491">
        <v>2023</v>
      </c>
      <c r="I491" t="s">
        <v>271</v>
      </c>
      <c r="J491"/>
      <c r="K491"/>
      <c r="L491"/>
      <c r="M491">
        <v>2023</v>
      </c>
      <c r="N491"/>
      <c r="O491" t="s">
        <v>45</v>
      </c>
      <c r="P491"/>
      <c r="Q491"/>
      <c r="R491" t="s">
        <v>784</v>
      </c>
      <c r="S491" s="90">
        <f>S450</f>
        <v>259556960.04600003</v>
      </c>
    </row>
    <row r="492" spans="1:19" s="7" customFormat="1" x14ac:dyDescent="0.3">
      <c r="A492" t="s">
        <v>557</v>
      </c>
      <c r="B492"/>
      <c r="C492" t="s">
        <v>796</v>
      </c>
      <c r="D492" t="s">
        <v>36</v>
      </c>
      <c r="E492" t="s">
        <v>37</v>
      </c>
      <c r="F492" t="s">
        <v>38</v>
      </c>
      <c r="G492" t="s">
        <v>39</v>
      </c>
      <c r="H492">
        <v>2023</v>
      </c>
      <c r="I492" t="s">
        <v>271</v>
      </c>
      <c r="J492"/>
      <c r="K492"/>
      <c r="L492"/>
      <c r="M492">
        <v>2023</v>
      </c>
      <c r="N492"/>
      <c r="O492" t="s">
        <v>45</v>
      </c>
      <c r="P492"/>
      <c r="Q492"/>
      <c r="R492" s="108" t="s">
        <v>809</v>
      </c>
      <c r="S492" s="109">
        <f>S493+S499+S504+S508+S512+S515</f>
        <v>204.53322499999996</v>
      </c>
    </row>
    <row r="493" spans="1:19" s="7" customFormat="1" x14ac:dyDescent="0.3">
      <c r="A493" t="s">
        <v>557</v>
      </c>
      <c r="B493"/>
      <c r="C493" t="s">
        <v>796</v>
      </c>
      <c r="D493" t="s">
        <v>36</v>
      </c>
      <c r="E493" t="s">
        <v>37</v>
      </c>
      <c r="F493" t="s">
        <v>38</v>
      </c>
      <c r="G493" t="s">
        <v>39</v>
      </c>
      <c r="H493">
        <v>2023</v>
      </c>
      <c r="I493" t="s">
        <v>271</v>
      </c>
      <c r="J493"/>
      <c r="K493"/>
      <c r="L493"/>
      <c r="M493">
        <v>2023</v>
      </c>
      <c r="N493"/>
      <c r="O493" t="s">
        <v>45</v>
      </c>
      <c r="P493"/>
      <c r="Q493" t="s">
        <v>1465</v>
      </c>
      <c r="R493" s="110" t="s">
        <v>810</v>
      </c>
      <c r="S493" s="96">
        <f>SUM(S494:S498)</f>
        <v>13.465499999999997</v>
      </c>
    </row>
    <row r="494" spans="1:19" s="7" customFormat="1" x14ac:dyDescent="0.3">
      <c r="A494" t="s">
        <v>557</v>
      </c>
      <c r="B494"/>
      <c r="C494" t="s">
        <v>796</v>
      </c>
      <c r="D494" t="s">
        <v>36</v>
      </c>
      <c r="E494" t="s">
        <v>37</v>
      </c>
      <c r="F494" t="s">
        <v>38</v>
      </c>
      <c r="G494" t="s">
        <v>39</v>
      </c>
      <c r="H494">
        <v>2023</v>
      </c>
      <c r="I494" t="s">
        <v>271</v>
      </c>
      <c r="J494"/>
      <c r="K494"/>
      <c r="L494"/>
      <c r="M494">
        <v>2023</v>
      </c>
      <c r="N494"/>
      <c r="O494" t="s">
        <v>45</v>
      </c>
      <c r="P494"/>
      <c r="Q494"/>
      <c r="R494" s="104" t="s">
        <v>811</v>
      </c>
      <c r="S494">
        <v>0.01</v>
      </c>
    </row>
    <row r="495" spans="1:19" s="7" customFormat="1" x14ac:dyDescent="0.3">
      <c r="A495" t="s">
        <v>557</v>
      </c>
      <c r="B495"/>
      <c r="C495" t="s">
        <v>796</v>
      </c>
      <c r="D495" t="s">
        <v>36</v>
      </c>
      <c r="E495" t="s">
        <v>37</v>
      </c>
      <c r="F495" t="s">
        <v>38</v>
      </c>
      <c r="G495" t="s">
        <v>39</v>
      </c>
      <c r="H495">
        <v>2023</v>
      </c>
      <c r="I495" t="s">
        <v>271</v>
      </c>
      <c r="J495"/>
      <c r="K495"/>
      <c r="L495"/>
      <c r="M495">
        <v>2023</v>
      </c>
      <c r="N495"/>
      <c r="O495" t="s">
        <v>45</v>
      </c>
      <c r="P495"/>
      <c r="Q495"/>
      <c r="R495" s="104" t="s">
        <v>812</v>
      </c>
      <c r="S495">
        <v>6.5000000000000002E-2</v>
      </c>
    </row>
    <row r="496" spans="1:19" s="7" customFormat="1" x14ac:dyDescent="0.3">
      <c r="A496" t="s">
        <v>557</v>
      </c>
      <c r="B496"/>
      <c r="C496" t="s">
        <v>796</v>
      </c>
      <c r="D496" t="s">
        <v>36</v>
      </c>
      <c r="E496" t="s">
        <v>37</v>
      </c>
      <c r="F496" t="s">
        <v>38</v>
      </c>
      <c r="G496" t="s">
        <v>39</v>
      </c>
      <c r="H496">
        <v>2023</v>
      </c>
      <c r="I496" t="s">
        <v>271</v>
      </c>
      <c r="J496"/>
      <c r="K496"/>
      <c r="L496"/>
      <c r="M496">
        <v>2023</v>
      </c>
      <c r="N496"/>
      <c r="O496" t="s">
        <v>45</v>
      </c>
      <c r="P496"/>
      <c r="Q496"/>
      <c r="R496" s="104" t="s">
        <v>800</v>
      </c>
      <c r="S496">
        <v>11.171499999999998</v>
      </c>
    </row>
    <row r="497" spans="1:19" s="7" customFormat="1" x14ac:dyDescent="0.3">
      <c r="A497" t="s">
        <v>557</v>
      </c>
      <c r="B497"/>
      <c r="C497" t="s">
        <v>796</v>
      </c>
      <c r="D497" t="s">
        <v>36</v>
      </c>
      <c r="E497" t="s">
        <v>37</v>
      </c>
      <c r="F497" t="s">
        <v>38</v>
      </c>
      <c r="G497" t="s">
        <v>39</v>
      </c>
      <c r="H497">
        <v>2023</v>
      </c>
      <c r="I497" t="s">
        <v>271</v>
      </c>
      <c r="J497"/>
      <c r="K497"/>
      <c r="L497"/>
      <c r="M497">
        <v>2023</v>
      </c>
      <c r="N497"/>
      <c r="O497" t="s">
        <v>45</v>
      </c>
      <c r="P497"/>
      <c r="Q497"/>
      <c r="R497" s="104" t="s">
        <v>801</v>
      </c>
      <c r="S497">
        <v>0.32999999999999996</v>
      </c>
    </row>
    <row r="498" spans="1:19" s="7" customFormat="1" x14ac:dyDescent="0.3">
      <c r="A498" t="s">
        <v>557</v>
      </c>
      <c r="B498"/>
      <c r="C498" t="s">
        <v>796</v>
      </c>
      <c r="D498" t="s">
        <v>36</v>
      </c>
      <c r="E498" t="s">
        <v>37</v>
      </c>
      <c r="F498" t="s">
        <v>38</v>
      </c>
      <c r="G498" t="s">
        <v>39</v>
      </c>
      <c r="H498">
        <v>2023</v>
      </c>
      <c r="I498" t="s">
        <v>271</v>
      </c>
      <c r="J498"/>
      <c r="K498"/>
      <c r="L498"/>
      <c r="M498">
        <v>2023</v>
      </c>
      <c r="N498"/>
      <c r="O498" t="s">
        <v>45</v>
      </c>
      <c r="P498"/>
      <c r="Q498"/>
      <c r="R498" s="104" t="s">
        <v>802</v>
      </c>
      <c r="S498">
        <v>1.889</v>
      </c>
    </row>
    <row r="499" spans="1:19" s="7" customFormat="1" x14ac:dyDescent="0.3">
      <c r="A499" t="s">
        <v>557</v>
      </c>
      <c r="B499"/>
      <c r="C499" t="s">
        <v>796</v>
      </c>
      <c r="D499" t="s">
        <v>36</v>
      </c>
      <c r="E499" t="s">
        <v>37</v>
      </c>
      <c r="F499" t="s">
        <v>38</v>
      </c>
      <c r="G499" t="s">
        <v>39</v>
      </c>
      <c r="H499">
        <v>2023</v>
      </c>
      <c r="I499" t="s">
        <v>271</v>
      </c>
      <c r="J499"/>
      <c r="K499"/>
      <c r="L499"/>
      <c r="M499">
        <v>2023</v>
      </c>
      <c r="N499"/>
      <c r="O499" t="s">
        <v>45</v>
      </c>
      <c r="P499"/>
      <c r="Q499"/>
      <c r="R499" s="110" t="s">
        <v>803</v>
      </c>
      <c r="S499" s="96">
        <f>SUM(S500:S503)</f>
        <v>78.189524999999989</v>
      </c>
    </row>
    <row r="500" spans="1:19" s="7" customFormat="1" x14ac:dyDescent="0.3">
      <c r="A500" t="s">
        <v>557</v>
      </c>
      <c r="B500"/>
      <c r="C500" t="s">
        <v>796</v>
      </c>
      <c r="D500" t="s">
        <v>36</v>
      </c>
      <c r="E500" t="s">
        <v>37</v>
      </c>
      <c r="F500" t="s">
        <v>38</v>
      </c>
      <c r="G500" t="s">
        <v>39</v>
      </c>
      <c r="H500">
        <v>2023</v>
      </c>
      <c r="I500" t="s">
        <v>271</v>
      </c>
      <c r="J500"/>
      <c r="K500"/>
      <c r="L500"/>
      <c r="M500">
        <v>2023</v>
      </c>
      <c r="N500"/>
      <c r="O500" t="s">
        <v>45</v>
      </c>
      <c r="P500"/>
      <c r="Q500"/>
      <c r="R500" s="104" t="s">
        <v>798</v>
      </c>
      <c r="S500">
        <v>0.26</v>
      </c>
    </row>
    <row r="501" spans="1:19" s="7" customFormat="1" x14ac:dyDescent="0.3">
      <c r="A501" t="s">
        <v>557</v>
      </c>
      <c r="B501"/>
      <c r="C501" t="s">
        <v>796</v>
      </c>
      <c r="D501" t="s">
        <v>36</v>
      </c>
      <c r="E501" t="s">
        <v>37</v>
      </c>
      <c r="F501" t="s">
        <v>38</v>
      </c>
      <c r="G501" t="s">
        <v>39</v>
      </c>
      <c r="H501">
        <v>2023</v>
      </c>
      <c r="I501" t="s">
        <v>271</v>
      </c>
      <c r="J501"/>
      <c r="K501"/>
      <c r="L501"/>
      <c r="M501">
        <v>2023</v>
      </c>
      <c r="N501"/>
      <c r="O501" t="s">
        <v>45</v>
      </c>
      <c r="P501"/>
      <c r="Q501"/>
      <c r="R501" s="104" t="s">
        <v>800</v>
      </c>
      <c r="S501">
        <v>23.293484999999997</v>
      </c>
    </row>
    <row r="502" spans="1:19" s="7" customFormat="1" x14ac:dyDescent="0.3">
      <c r="A502" t="s">
        <v>557</v>
      </c>
      <c r="B502"/>
      <c r="C502" t="s">
        <v>796</v>
      </c>
      <c r="D502" t="s">
        <v>36</v>
      </c>
      <c r="E502" t="s">
        <v>37</v>
      </c>
      <c r="F502" t="s">
        <v>38</v>
      </c>
      <c r="G502" t="s">
        <v>39</v>
      </c>
      <c r="H502">
        <v>2023</v>
      </c>
      <c r="I502" t="s">
        <v>271</v>
      </c>
      <c r="J502"/>
      <c r="K502"/>
      <c r="L502"/>
      <c r="M502">
        <v>2023</v>
      </c>
      <c r="N502"/>
      <c r="O502" t="s">
        <v>45</v>
      </c>
      <c r="P502"/>
      <c r="Q502"/>
      <c r="R502" s="104" t="s">
        <v>801</v>
      </c>
      <c r="S502">
        <v>1.0180899999999999</v>
      </c>
    </row>
    <row r="503" spans="1:19" s="7" customFormat="1" x14ac:dyDescent="0.3">
      <c r="A503" t="s">
        <v>557</v>
      </c>
      <c r="B503"/>
      <c r="C503" t="s">
        <v>796</v>
      </c>
      <c r="D503" t="s">
        <v>36</v>
      </c>
      <c r="E503" t="s">
        <v>37</v>
      </c>
      <c r="F503" t="s">
        <v>38</v>
      </c>
      <c r="G503" t="s">
        <v>39</v>
      </c>
      <c r="H503">
        <v>2023</v>
      </c>
      <c r="I503" t="s">
        <v>271</v>
      </c>
      <c r="J503"/>
      <c r="K503"/>
      <c r="L503"/>
      <c r="M503">
        <v>2023</v>
      </c>
      <c r="N503"/>
      <c r="O503" t="s">
        <v>45</v>
      </c>
      <c r="P503"/>
      <c r="Q503"/>
      <c r="R503" s="104" t="s">
        <v>802</v>
      </c>
      <c r="S503">
        <v>53.617949999999986</v>
      </c>
    </row>
    <row r="504" spans="1:19" s="7" customFormat="1" x14ac:dyDescent="0.3">
      <c r="A504" t="s">
        <v>557</v>
      </c>
      <c r="B504"/>
      <c r="C504" t="s">
        <v>796</v>
      </c>
      <c r="D504" t="s">
        <v>36</v>
      </c>
      <c r="E504" t="s">
        <v>37</v>
      </c>
      <c r="F504" t="s">
        <v>38</v>
      </c>
      <c r="G504" t="s">
        <v>39</v>
      </c>
      <c r="H504">
        <v>2023</v>
      </c>
      <c r="I504" t="s">
        <v>271</v>
      </c>
      <c r="J504"/>
      <c r="K504"/>
      <c r="L504"/>
      <c r="M504">
        <v>2023</v>
      </c>
      <c r="N504"/>
      <c r="O504" t="s">
        <v>45</v>
      </c>
      <c r="P504"/>
      <c r="Q504"/>
      <c r="R504" s="110" t="s">
        <v>799</v>
      </c>
      <c r="S504" s="96">
        <f>SUM(S505:S507)</f>
        <v>0.11</v>
      </c>
    </row>
    <row r="505" spans="1:19" s="7" customFormat="1" x14ac:dyDescent="0.3">
      <c r="A505" t="s">
        <v>557</v>
      </c>
      <c r="B505"/>
      <c r="C505" t="s">
        <v>796</v>
      </c>
      <c r="D505" t="s">
        <v>36</v>
      </c>
      <c r="E505" t="s">
        <v>37</v>
      </c>
      <c r="F505" t="s">
        <v>38</v>
      </c>
      <c r="G505" t="s">
        <v>39</v>
      </c>
      <c r="H505">
        <v>2023</v>
      </c>
      <c r="I505" t="s">
        <v>271</v>
      </c>
      <c r="J505"/>
      <c r="K505"/>
      <c r="L505"/>
      <c r="M505">
        <v>2023</v>
      </c>
      <c r="N505"/>
      <c r="O505" t="s">
        <v>45</v>
      </c>
      <c r="P505"/>
      <c r="Q505"/>
      <c r="R505" s="104" t="s">
        <v>800</v>
      </c>
      <c r="S505">
        <v>0</v>
      </c>
    </row>
    <row r="506" spans="1:19" s="7" customFormat="1" x14ac:dyDescent="0.3">
      <c r="A506" t="s">
        <v>557</v>
      </c>
      <c r="B506"/>
      <c r="C506" t="s">
        <v>796</v>
      </c>
      <c r="D506" t="s">
        <v>36</v>
      </c>
      <c r="E506" t="s">
        <v>37</v>
      </c>
      <c r="F506" t="s">
        <v>38</v>
      </c>
      <c r="G506" t="s">
        <v>39</v>
      </c>
      <c r="H506">
        <v>2023</v>
      </c>
      <c r="I506" t="s">
        <v>271</v>
      </c>
      <c r="J506"/>
      <c r="K506"/>
      <c r="L506"/>
      <c r="M506">
        <v>2023</v>
      </c>
      <c r="N506"/>
      <c r="O506" t="s">
        <v>45</v>
      </c>
      <c r="P506"/>
      <c r="Q506"/>
      <c r="R506" s="104" t="s">
        <v>801</v>
      </c>
      <c r="S506">
        <v>0</v>
      </c>
    </row>
    <row r="507" spans="1:19" s="7" customFormat="1" x14ac:dyDescent="0.3">
      <c r="A507" t="s">
        <v>557</v>
      </c>
      <c r="B507"/>
      <c r="C507" t="s">
        <v>796</v>
      </c>
      <c r="D507" t="s">
        <v>36</v>
      </c>
      <c r="E507" t="s">
        <v>37</v>
      </c>
      <c r="F507" t="s">
        <v>38</v>
      </c>
      <c r="G507" t="s">
        <v>39</v>
      </c>
      <c r="H507">
        <v>2023</v>
      </c>
      <c r="I507" t="s">
        <v>271</v>
      </c>
      <c r="J507"/>
      <c r="K507"/>
      <c r="L507"/>
      <c r="M507">
        <v>2023</v>
      </c>
      <c r="N507"/>
      <c r="O507" t="s">
        <v>45</v>
      </c>
      <c r="P507"/>
      <c r="Q507"/>
      <c r="R507" s="104" t="s">
        <v>802</v>
      </c>
      <c r="S507">
        <v>0.11</v>
      </c>
    </row>
    <row r="508" spans="1:19" s="7" customFormat="1" x14ac:dyDescent="0.3">
      <c r="A508" t="s">
        <v>557</v>
      </c>
      <c r="B508"/>
      <c r="C508" t="s">
        <v>796</v>
      </c>
      <c r="D508" t="s">
        <v>36</v>
      </c>
      <c r="E508" t="s">
        <v>37</v>
      </c>
      <c r="F508" t="s">
        <v>38</v>
      </c>
      <c r="G508" t="s">
        <v>39</v>
      </c>
      <c r="H508">
        <v>2023</v>
      </c>
      <c r="I508" t="s">
        <v>271</v>
      </c>
      <c r="J508"/>
      <c r="K508"/>
      <c r="L508"/>
      <c r="M508">
        <v>2023</v>
      </c>
      <c r="N508"/>
      <c r="O508" t="s">
        <v>45</v>
      </c>
      <c r="P508"/>
      <c r="Q508"/>
      <c r="R508" s="110" t="s">
        <v>804</v>
      </c>
      <c r="S508" s="96">
        <f>SUM(S509:S511)</f>
        <v>2.5190000000000001</v>
      </c>
    </row>
    <row r="509" spans="1:19" s="7" customFormat="1" x14ac:dyDescent="0.3">
      <c r="A509" t="s">
        <v>557</v>
      </c>
      <c r="B509"/>
      <c r="C509" t="s">
        <v>796</v>
      </c>
      <c r="D509" t="s">
        <v>36</v>
      </c>
      <c r="E509" t="s">
        <v>37</v>
      </c>
      <c r="F509" t="s">
        <v>38</v>
      </c>
      <c r="G509" t="s">
        <v>39</v>
      </c>
      <c r="H509">
        <v>2023</v>
      </c>
      <c r="I509" t="s">
        <v>271</v>
      </c>
      <c r="J509"/>
      <c r="K509"/>
      <c r="L509"/>
      <c r="M509">
        <v>2023</v>
      </c>
      <c r="N509"/>
      <c r="O509" t="s">
        <v>45</v>
      </c>
      <c r="P509"/>
      <c r="Q509"/>
      <c r="R509" s="104" t="s">
        <v>799</v>
      </c>
      <c r="S509">
        <v>0</v>
      </c>
    </row>
    <row r="510" spans="1:19" s="7" customFormat="1" x14ac:dyDescent="0.3">
      <c r="A510" t="s">
        <v>557</v>
      </c>
      <c r="B510"/>
      <c r="C510" t="s">
        <v>796</v>
      </c>
      <c r="D510" t="s">
        <v>36</v>
      </c>
      <c r="E510" t="s">
        <v>37</v>
      </c>
      <c r="F510" t="s">
        <v>38</v>
      </c>
      <c r="G510" t="s">
        <v>39</v>
      </c>
      <c r="H510">
        <v>2023</v>
      </c>
      <c r="I510" t="s">
        <v>271</v>
      </c>
      <c r="J510"/>
      <c r="K510"/>
      <c r="L510"/>
      <c r="M510">
        <v>2023</v>
      </c>
      <c r="N510"/>
      <c r="O510" t="s">
        <v>45</v>
      </c>
      <c r="P510"/>
      <c r="Q510"/>
      <c r="R510" s="104" t="s">
        <v>800</v>
      </c>
      <c r="S510">
        <v>2.5190000000000001</v>
      </c>
    </row>
    <row r="511" spans="1:19" s="7" customFormat="1" x14ac:dyDescent="0.3">
      <c r="A511" t="s">
        <v>557</v>
      </c>
      <c r="B511"/>
      <c r="C511" t="s">
        <v>796</v>
      </c>
      <c r="D511" t="s">
        <v>36</v>
      </c>
      <c r="E511" t="s">
        <v>37</v>
      </c>
      <c r="F511" t="s">
        <v>38</v>
      </c>
      <c r="G511" t="s">
        <v>39</v>
      </c>
      <c r="H511">
        <v>2023</v>
      </c>
      <c r="I511" t="s">
        <v>271</v>
      </c>
      <c r="J511"/>
      <c r="K511"/>
      <c r="L511"/>
      <c r="M511">
        <v>2023</v>
      </c>
      <c r="N511"/>
      <c r="O511" t="s">
        <v>45</v>
      </c>
      <c r="P511"/>
      <c r="Q511"/>
      <c r="R511" s="104" t="s">
        <v>802</v>
      </c>
      <c r="S511">
        <v>0</v>
      </c>
    </row>
    <row r="512" spans="1:19" s="7" customFormat="1" x14ac:dyDescent="0.3">
      <c r="A512" t="s">
        <v>557</v>
      </c>
      <c r="B512"/>
      <c r="C512" t="s">
        <v>796</v>
      </c>
      <c r="D512" t="s">
        <v>36</v>
      </c>
      <c r="E512" t="s">
        <v>37</v>
      </c>
      <c r="F512" t="s">
        <v>38</v>
      </c>
      <c r="G512" t="s">
        <v>39</v>
      </c>
      <c r="H512">
        <v>2023</v>
      </c>
      <c r="I512" t="s">
        <v>271</v>
      </c>
      <c r="J512"/>
      <c r="K512"/>
      <c r="L512"/>
      <c r="M512">
        <v>2023</v>
      </c>
      <c r="N512"/>
      <c r="O512" t="s">
        <v>45</v>
      </c>
      <c r="P512"/>
      <c r="Q512"/>
      <c r="R512" s="110" t="s">
        <v>805</v>
      </c>
      <c r="S512" s="96">
        <f>SUM(S513:S514)</f>
        <v>2.238</v>
      </c>
    </row>
    <row r="513" spans="1:19" s="7" customFormat="1" x14ac:dyDescent="0.3">
      <c r="A513" t="s">
        <v>557</v>
      </c>
      <c r="B513"/>
      <c r="C513" t="s">
        <v>796</v>
      </c>
      <c r="D513" t="s">
        <v>36</v>
      </c>
      <c r="E513" t="s">
        <v>37</v>
      </c>
      <c r="F513" t="s">
        <v>38</v>
      </c>
      <c r="G513" t="s">
        <v>39</v>
      </c>
      <c r="H513">
        <v>2023</v>
      </c>
      <c r="I513" t="s">
        <v>271</v>
      </c>
      <c r="J513"/>
      <c r="K513"/>
      <c r="L513"/>
      <c r="M513">
        <v>2023</v>
      </c>
      <c r="N513"/>
      <c r="O513" t="s">
        <v>45</v>
      </c>
      <c r="P513"/>
      <c r="Q513"/>
      <c r="R513" s="104" t="s">
        <v>800</v>
      </c>
      <c r="S513">
        <v>6.9000000000000006E-2</v>
      </c>
    </row>
    <row r="514" spans="1:19" s="7" customFormat="1" x14ac:dyDescent="0.3">
      <c r="A514" t="s">
        <v>557</v>
      </c>
      <c r="B514"/>
      <c r="C514" t="s">
        <v>796</v>
      </c>
      <c r="D514" t="s">
        <v>36</v>
      </c>
      <c r="E514" t="s">
        <v>37</v>
      </c>
      <c r="F514" t="s">
        <v>38</v>
      </c>
      <c r="G514" t="s">
        <v>39</v>
      </c>
      <c r="H514">
        <v>2023</v>
      </c>
      <c r="I514" t="s">
        <v>271</v>
      </c>
      <c r="J514"/>
      <c r="K514"/>
      <c r="L514"/>
      <c r="M514">
        <v>2023</v>
      </c>
      <c r="N514"/>
      <c r="O514" t="s">
        <v>45</v>
      </c>
      <c r="P514"/>
      <c r="Q514"/>
      <c r="R514" s="104" t="s">
        <v>802</v>
      </c>
      <c r="S514">
        <v>2.169</v>
      </c>
    </row>
    <row r="515" spans="1:19" s="7" customFormat="1" x14ac:dyDescent="0.3">
      <c r="A515" t="s">
        <v>557</v>
      </c>
      <c r="B515"/>
      <c r="C515" t="s">
        <v>796</v>
      </c>
      <c r="D515" t="s">
        <v>36</v>
      </c>
      <c r="E515" t="s">
        <v>37</v>
      </c>
      <c r="F515" t="s">
        <v>38</v>
      </c>
      <c r="G515" t="s">
        <v>39</v>
      </c>
      <c r="H515">
        <v>2023</v>
      </c>
      <c r="I515" t="s">
        <v>271</v>
      </c>
      <c r="J515"/>
      <c r="K515"/>
      <c r="L515"/>
      <c r="M515">
        <v>2023</v>
      </c>
      <c r="N515"/>
      <c r="O515" t="s">
        <v>45</v>
      </c>
      <c r="P515"/>
      <c r="Q515"/>
      <c r="R515" s="110" t="s">
        <v>806</v>
      </c>
      <c r="S515" s="96">
        <f>SUM(S516:S519)</f>
        <v>108.01119999999999</v>
      </c>
    </row>
    <row r="516" spans="1:19" s="7" customFormat="1" x14ac:dyDescent="0.3">
      <c r="A516" t="s">
        <v>557</v>
      </c>
      <c r="B516"/>
      <c r="C516" t="s">
        <v>796</v>
      </c>
      <c r="D516" t="s">
        <v>36</v>
      </c>
      <c r="E516" t="s">
        <v>37</v>
      </c>
      <c r="F516" t="s">
        <v>38</v>
      </c>
      <c r="G516" t="s">
        <v>39</v>
      </c>
      <c r="H516">
        <v>2023</v>
      </c>
      <c r="I516" t="s">
        <v>271</v>
      </c>
      <c r="J516"/>
      <c r="K516"/>
      <c r="L516"/>
      <c r="M516">
        <v>2023</v>
      </c>
      <c r="N516"/>
      <c r="O516" t="s">
        <v>45</v>
      </c>
      <c r="P516"/>
      <c r="Q516"/>
      <c r="R516" s="104" t="s">
        <v>799</v>
      </c>
      <c r="S516">
        <v>0</v>
      </c>
    </row>
    <row r="517" spans="1:19" s="7" customFormat="1" x14ac:dyDescent="0.3">
      <c r="A517" t="s">
        <v>557</v>
      </c>
      <c r="B517"/>
      <c r="C517" t="s">
        <v>796</v>
      </c>
      <c r="D517" t="s">
        <v>36</v>
      </c>
      <c r="E517" t="s">
        <v>37</v>
      </c>
      <c r="F517" t="s">
        <v>38</v>
      </c>
      <c r="G517" t="s">
        <v>39</v>
      </c>
      <c r="H517">
        <v>2023</v>
      </c>
      <c r="I517" t="s">
        <v>271</v>
      </c>
      <c r="J517"/>
      <c r="K517"/>
      <c r="L517"/>
      <c r="M517">
        <v>2023</v>
      </c>
      <c r="N517"/>
      <c r="O517" t="s">
        <v>45</v>
      </c>
      <c r="P517"/>
      <c r="Q517"/>
      <c r="R517" s="104" t="s">
        <v>800</v>
      </c>
      <c r="S517">
        <v>79.566199999999981</v>
      </c>
    </row>
    <row r="518" spans="1:19" s="7" customFormat="1" x14ac:dyDescent="0.3">
      <c r="A518" t="s">
        <v>557</v>
      </c>
      <c r="B518"/>
      <c r="C518" t="s">
        <v>796</v>
      </c>
      <c r="D518" t="s">
        <v>36</v>
      </c>
      <c r="E518" t="s">
        <v>37</v>
      </c>
      <c r="F518" t="s">
        <v>38</v>
      </c>
      <c r="G518" t="s">
        <v>39</v>
      </c>
      <c r="H518">
        <v>2023</v>
      </c>
      <c r="I518" t="s">
        <v>271</v>
      </c>
      <c r="J518"/>
      <c r="K518"/>
      <c r="L518"/>
      <c r="M518">
        <v>2023</v>
      </c>
      <c r="N518"/>
      <c r="O518" t="s">
        <v>45</v>
      </c>
      <c r="P518"/>
      <c r="Q518"/>
      <c r="R518" s="104" t="s">
        <v>801</v>
      </c>
      <c r="S518">
        <v>2.0099999999999998</v>
      </c>
    </row>
    <row r="519" spans="1:19" s="7" customFormat="1" x14ac:dyDescent="0.3">
      <c r="A519" t="s">
        <v>557</v>
      </c>
      <c r="B519"/>
      <c r="C519" t="s">
        <v>796</v>
      </c>
      <c r="D519" t="s">
        <v>36</v>
      </c>
      <c r="E519" t="s">
        <v>37</v>
      </c>
      <c r="F519" t="s">
        <v>38</v>
      </c>
      <c r="G519" t="s">
        <v>39</v>
      </c>
      <c r="H519">
        <v>2023</v>
      </c>
      <c r="I519" t="s">
        <v>271</v>
      </c>
      <c r="J519"/>
      <c r="K519"/>
      <c r="L519"/>
      <c r="M519">
        <v>2023</v>
      </c>
      <c r="N519"/>
      <c r="O519" t="s">
        <v>45</v>
      </c>
      <c r="P519"/>
      <c r="Q519"/>
      <c r="R519" s="104" t="s">
        <v>802</v>
      </c>
      <c r="S519">
        <v>26.434999999999999</v>
      </c>
    </row>
    <row r="520" spans="1:19" s="7" customFormat="1" x14ac:dyDescent="0.3">
      <c r="A520" t="s">
        <v>557</v>
      </c>
      <c r="B520"/>
      <c r="C520" t="s">
        <v>796</v>
      </c>
      <c r="D520" t="s">
        <v>36</v>
      </c>
      <c r="E520" t="s">
        <v>37</v>
      </c>
      <c r="F520" t="s">
        <v>38</v>
      </c>
      <c r="G520" t="s">
        <v>39</v>
      </c>
      <c r="H520">
        <v>2023</v>
      </c>
      <c r="I520" t="s">
        <v>271</v>
      </c>
      <c r="J520"/>
      <c r="K520"/>
      <c r="L520"/>
      <c r="M520">
        <v>2023</v>
      </c>
      <c r="N520"/>
      <c r="O520" t="s">
        <v>45</v>
      </c>
      <c r="P520"/>
      <c r="Q520"/>
      <c r="R520" s="108" t="s">
        <v>807</v>
      </c>
      <c r="S520" s="109">
        <f>S521+S523+S525</f>
        <v>158.43328</v>
      </c>
    </row>
    <row r="521" spans="1:19" s="7" customFormat="1" x14ac:dyDescent="0.3">
      <c r="A521" t="s">
        <v>557</v>
      </c>
      <c r="B521"/>
      <c r="C521" t="s">
        <v>796</v>
      </c>
      <c r="D521" t="s">
        <v>36</v>
      </c>
      <c r="E521" t="s">
        <v>37</v>
      </c>
      <c r="F521" t="s">
        <v>38</v>
      </c>
      <c r="G521" t="s">
        <v>39</v>
      </c>
      <c r="H521">
        <v>2023</v>
      </c>
      <c r="I521" t="s">
        <v>271</v>
      </c>
      <c r="J521"/>
      <c r="K521"/>
      <c r="L521"/>
      <c r="M521">
        <v>2023</v>
      </c>
      <c r="N521"/>
      <c r="O521" t="s">
        <v>45</v>
      </c>
      <c r="P521"/>
      <c r="Q521"/>
      <c r="R521" s="110" t="s">
        <v>803</v>
      </c>
      <c r="S521" s="96">
        <f>SUM(S522)</f>
        <v>35</v>
      </c>
    </row>
    <row r="522" spans="1:19" s="7" customFormat="1" x14ac:dyDescent="0.3">
      <c r="A522" t="s">
        <v>557</v>
      </c>
      <c r="B522"/>
      <c r="C522" t="s">
        <v>796</v>
      </c>
      <c r="D522" t="s">
        <v>36</v>
      </c>
      <c r="E522" t="s">
        <v>37</v>
      </c>
      <c r="F522" t="s">
        <v>38</v>
      </c>
      <c r="G522" t="s">
        <v>39</v>
      </c>
      <c r="H522">
        <v>2023</v>
      </c>
      <c r="I522" t="s">
        <v>271</v>
      </c>
      <c r="J522"/>
      <c r="K522"/>
      <c r="L522"/>
      <c r="M522">
        <v>2023</v>
      </c>
      <c r="N522"/>
      <c r="O522" t="s">
        <v>45</v>
      </c>
      <c r="P522"/>
      <c r="Q522"/>
      <c r="R522" s="104" t="s">
        <v>800</v>
      </c>
      <c r="S522">
        <v>35</v>
      </c>
    </row>
    <row r="523" spans="1:19" s="7" customFormat="1" x14ac:dyDescent="0.3">
      <c r="A523" t="s">
        <v>557</v>
      </c>
      <c r="B523"/>
      <c r="C523" t="s">
        <v>796</v>
      </c>
      <c r="D523" t="s">
        <v>36</v>
      </c>
      <c r="E523" t="s">
        <v>37</v>
      </c>
      <c r="F523" t="s">
        <v>38</v>
      </c>
      <c r="G523" t="s">
        <v>39</v>
      </c>
      <c r="H523">
        <v>2023</v>
      </c>
      <c r="I523" t="s">
        <v>271</v>
      </c>
      <c r="J523"/>
      <c r="K523"/>
      <c r="L523"/>
      <c r="M523">
        <v>2023</v>
      </c>
      <c r="N523"/>
      <c r="O523" t="s">
        <v>45</v>
      </c>
      <c r="P523"/>
      <c r="Q523"/>
      <c r="R523" s="110" t="s">
        <v>804</v>
      </c>
      <c r="S523" s="96">
        <f>SUM(S524)</f>
        <v>53.432279999999999</v>
      </c>
    </row>
    <row r="524" spans="1:19" s="7" customFormat="1" x14ac:dyDescent="0.3">
      <c r="A524" t="s">
        <v>557</v>
      </c>
      <c r="B524"/>
      <c r="C524" t="s">
        <v>796</v>
      </c>
      <c r="D524" t="s">
        <v>36</v>
      </c>
      <c r="E524" t="s">
        <v>37</v>
      </c>
      <c r="F524" t="s">
        <v>38</v>
      </c>
      <c r="G524" t="s">
        <v>39</v>
      </c>
      <c r="H524">
        <v>2023</v>
      </c>
      <c r="I524" t="s">
        <v>271</v>
      </c>
      <c r="J524"/>
      <c r="K524"/>
      <c r="L524"/>
      <c r="M524">
        <v>2023</v>
      </c>
      <c r="N524"/>
      <c r="O524" t="s">
        <v>45</v>
      </c>
      <c r="P524"/>
      <c r="Q524"/>
      <c r="R524" s="104" t="s">
        <v>802</v>
      </c>
      <c r="S524">
        <v>53.432279999999999</v>
      </c>
    </row>
    <row r="525" spans="1:19" s="7" customFormat="1" x14ac:dyDescent="0.3">
      <c r="A525" t="s">
        <v>557</v>
      </c>
      <c r="B525"/>
      <c r="C525" t="s">
        <v>796</v>
      </c>
      <c r="D525" t="s">
        <v>36</v>
      </c>
      <c r="E525" t="s">
        <v>37</v>
      </c>
      <c r="F525" t="s">
        <v>38</v>
      </c>
      <c r="G525" t="s">
        <v>39</v>
      </c>
      <c r="H525">
        <v>2023</v>
      </c>
      <c r="I525" t="s">
        <v>271</v>
      </c>
      <c r="J525"/>
      <c r="K525"/>
      <c r="L525"/>
      <c r="M525">
        <v>2023</v>
      </c>
      <c r="N525"/>
      <c r="O525" t="s">
        <v>45</v>
      </c>
      <c r="P525"/>
      <c r="Q525"/>
      <c r="R525" s="110" t="s">
        <v>806</v>
      </c>
      <c r="S525" s="96">
        <f>SUM(S526+S527)</f>
        <v>70.001000000000005</v>
      </c>
    </row>
    <row r="526" spans="1:19" s="7" customFormat="1" x14ac:dyDescent="0.3">
      <c r="A526" t="s">
        <v>557</v>
      </c>
      <c r="B526"/>
      <c r="C526" t="s">
        <v>796</v>
      </c>
      <c r="D526" t="s">
        <v>36</v>
      </c>
      <c r="E526" t="s">
        <v>37</v>
      </c>
      <c r="F526" t="s">
        <v>38</v>
      </c>
      <c r="G526" t="s">
        <v>39</v>
      </c>
      <c r="H526">
        <v>2023</v>
      </c>
      <c r="I526" t="s">
        <v>271</v>
      </c>
      <c r="J526"/>
      <c r="K526"/>
      <c r="L526"/>
      <c r="M526">
        <v>2023</v>
      </c>
      <c r="N526"/>
      <c r="O526" t="s">
        <v>45</v>
      </c>
      <c r="P526"/>
      <c r="Q526"/>
      <c r="R526" s="104" t="s">
        <v>800</v>
      </c>
      <c r="S526">
        <v>40</v>
      </c>
    </row>
    <row r="527" spans="1:19" s="7" customFormat="1" x14ac:dyDescent="0.3">
      <c r="A527" t="s">
        <v>557</v>
      </c>
      <c r="B527"/>
      <c r="C527" t="s">
        <v>796</v>
      </c>
      <c r="D527" t="s">
        <v>36</v>
      </c>
      <c r="E527" t="s">
        <v>37</v>
      </c>
      <c r="F527" t="s">
        <v>38</v>
      </c>
      <c r="G527" t="s">
        <v>39</v>
      </c>
      <c r="H527">
        <v>2023</v>
      </c>
      <c r="I527" t="s">
        <v>271</v>
      </c>
      <c r="J527"/>
      <c r="K527"/>
      <c r="L527"/>
      <c r="M527">
        <v>2023</v>
      </c>
      <c r="N527"/>
      <c r="O527" t="s">
        <v>45</v>
      </c>
      <c r="P527"/>
      <c r="Q527"/>
      <c r="R527" s="104" t="s">
        <v>801</v>
      </c>
      <c r="S527">
        <v>30.001000000000001</v>
      </c>
    </row>
    <row r="528" spans="1:19" s="7" customFormat="1" x14ac:dyDescent="0.3">
      <c r="A528" t="s">
        <v>557</v>
      </c>
      <c r="B528"/>
      <c r="C528" t="s">
        <v>796</v>
      </c>
      <c r="D528" t="s">
        <v>36</v>
      </c>
      <c r="E528" t="s">
        <v>37</v>
      </c>
      <c r="F528" t="s">
        <v>38</v>
      </c>
      <c r="G528" t="s">
        <v>39</v>
      </c>
      <c r="H528">
        <v>2023</v>
      </c>
      <c r="I528" t="s">
        <v>271</v>
      </c>
      <c r="J528"/>
      <c r="K528"/>
      <c r="L528"/>
      <c r="M528">
        <v>2023</v>
      </c>
      <c r="N528"/>
      <c r="O528" t="s">
        <v>45</v>
      </c>
      <c r="P528"/>
      <c r="Q528"/>
      <c r="R528" s="108" t="s">
        <v>808</v>
      </c>
      <c r="S528" s="109">
        <f>S529+S531+S533+S535</f>
        <v>1798.6456000000001</v>
      </c>
    </row>
    <row r="529" spans="1:19" s="7" customFormat="1" x14ac:dyDescent="0.3">
      <c r="A529" t="s">
        <v>557</v>
      </c>
      <c r="B529"/>
      <c r="C529" t="s">
        <v>796</v>
      </c>
      <c r="D529" t="s">
        <v>36</v>
      </c>
      <c r="E529" t="s">
        <v>37</v>
      </c>
      <c r="F529" t="s">
        <v>38</v>
      </c>
      <c r="G529" t="s">
        <v>39</v>
      </c>
      <c r="H529">
        <v>2023</v>
      </c>
      <c r="I529" t="s">
        <v>271</v>
      </c>
      <c r="J529"/>
      <c r="K529"/>
      <c r="L529"/>
      <c r="M529">
        <v>2023</v>
      </c>
      <c r="N529"/>
      <c r="O529" t="s">
        <v>45</v>
      </c>
      <c r="P529"/>
      <c r="Q529" t="s">
        <v>1466</v>
      </c>
      <c r="R529" s="110" t="s">
        <v>797</v>
      </c>
      <c r="S529" s="96">
        <f>SUM(S530)</f>
        <v>460</v>
      </c>
    </row>
    <row r="530" spans="1:19" s="7" customFormat="1" x14ac:dyDescent="0.3">
      <c r="A530" t="s">
        <v>557</v>
      </c>
      <c r="B530"/>
      <c r="C530" t="s">
        <v>796</v>
      </c>
      <c r="D530" t="s">
        <v>36</v>
      </c>
      <c r="E530" t="s">
        <v>37</v>
      </c>
      <c r="F530" t="s">
        <v>38</v>
      </c>
      <c r="G530" t="s">
        <v>39</v>
      </c>
      <c r="H530">
        <v>2023</v>
      </c>
      <c r="I530" t="s">
        <v>271</v>
      </c>
      <c r="J530"/>
      <c r="K530"/>
      <c r="L530"/>
      <c r="M530">
        <v>2023</v>
      </c>
      <c r="N530"/>
      <c r="O530" t="s">
        <v>45</v>
      </c>
      <c r="P530"/>
      <c r="Q530"/>
      <c r="R530" s="104" t="s">
        <v>802</v>
      </c>
      <c r="S530">
        <v>460</v>
      </c>
    </row>
    <row r="531" spans="1:19" s="7" customFormat="1" x14ac:dyDescent="0.3">
      <c r="A531" t="s">
        <v>557</v>
      </c>
      <c r="B531"/>
      <c r="C531" t="s">
        <v>796</v>
      </c>
      <c r="D531" t="s">
        <v>36</v>
      </c>
      <c r="E531" t="s">
        <v>37</v>
      </c>
      <c r="F531" t="s">
        <v>38</v>
      </c>
      <c r="G531" t="s">
        <v>39</v>
      </c>
      <c r="H531">
        <v>2023</v>
      </c>
      <c r="I531" t="s">
        <v>271</v>
      </c>
      <c r="J531"/>
      <c r="K531"/>
      <c r="L531"/>
      <c r="M531">
        <v>2023</v>
      </c>
      <c r="N531"/>
      <c r="O531" t="s">
        <v>45</v>
      </c>
      <c r="P531"/>
      <c r="Q531"/>
      <c r="R531" s="110" t="s">
        <v>803</v>
      </c>
      <c r="S531" s="96">
        <f>SUM(S532)</f>
        <v>150</v>
      </c>
    </row>
    <row r="532" spans="1:19" s="7" customFormat="1" x14ac:dyDescent="0.3">
      <c r="A532" t="s">
        <v>557</v>
      </c>
      <c r="B532"/>
      <c r="C532" t="s">
        <v>796</v>
      </c>
      <c r="D532" t="s">
        <v>36</v>
      </c>
      <c r="E532" t="s">
        <v>37</v>
      </c>
      <c r="F532" t="s">
        <v>38</v>
      </c>
      <c r="G532" t="s">
        <v>39</v>
      </c>
      <c r="H532">
        <v>2023</v>
      </c>
      <c r="I532" t="s">
        <v>271</v>
      </c>
      <c r="J532"/>
      <c r="K532"/>
      <c r="L532"/>
      <c r="M532">
        <v>2023</v>
      </c>
      <c r="N532"/>
      <c r="O532" t="s">
        <v>45</v>
      </c>
      <c r="P532"/>
      <c r="Q532"/>
      <c r="R532" s="104" t="s">
        <v>802</v>
      </c>
      <c r="S532">
        <v>150</v>
      </c>
    </row>
    <row r="533" spans="1:19" s="7" customFormat="1" x14ac:dyDescent="0.3">
      <c r="A533" t="s">
        <v>557</v>
      </c>
      <c r="B533"/>
      <c r="C533" t="s">
        <v>796</v>
      </c>
      <c r="D533" t="s">
        <v>36</v>
      </c>
      <c r="E533" t="s">
        <v>37</v>
      </c>
      <c r="F533" t="s">
        <v>38</v>
      </c>
      <c r="G533" t="s">
        <v>39</v>
      </c>
      <c r="H533">
        <v>2023</v>
      </c>
      <c r="I533" t="s">
        <v>271</v>
      </c>
      <c r="J533"/>
      <c r="K533"/>
      <c r="L533"/>
      <c r="M533">
        <v>2023</v>
      </c>
      <c r="N533"/>
      <c r="O533" t="s">
        <v>45</v>
      </c>
      <c r="P533"/>
      <c r="Q533"/>
      <c r="R533" s="110" t="s">
        <v>804</v>
      </c>
      <c r="S533" s="96">
        <f>+SUM(S534)</f>
        <v>1068.6456000000001</v>
      </c>
    </row>
    <row r="534" spans="1:19" s="7" customFormat="1" x14ac:dyDescent="0.3">
      <c r="A534" t="s">
        <v>557</v>
      </c>
      <c r="B534"/>
      <c r="C534" t="s">
        <v>796</v>
      </c>
      <c r="D534" t="s">
        <v>36</v>
      </c>
      <c r="E534" t="s">
        <v>37</v>
      </c>
      <c r="F534" t="s">
        <v>38</v>
      </c>
      <c r="G534" t="s">
        <v>39</v>
      </c>
      <c r="H534">
        <v>2023</v>
      </c>
      <c r="I534" t="s">
        <v>271</v>
      </c>
      <c r="J534"/>
      <c r="K534"/>
      <c r="L534"/>
      <c r="M534">
        <v>2023</v>
      </c>
      <c r="N534"/>
      <c r="O534" t="s">
        <v>45</v>
      </c>
      <c r="P534"/>
      <c r="Q534"/>
      <c r="R534" s="104" t="s">
        <v>802</v>
      </c>
      <c r="S534">
        <v>1068.6456000000001</v>
      </c>
    </row>
    <row r="535" spans="1:19" s="7" customFormat="1" x14ac:dyDescent="0.3">
      <c r="A535" t="s">
        <v>557</v>
      </c>
      <c r="B535"/>
      <c r="C535" t="s">
        <v>796</v>
      </c>
      <c r="D535" t="s">
        <v>36</v>
      </c>
      <c r="E535" t="s">
        <v>37</v>
      </c>
      <c r="F535" t="s">
        <v>38</v>
      </c>
      <c r="G535" t="s">
        <v>39</v>
      </c>
      <c r="H535">
        <v>2023</v>
      </c>
      <c r="I535" t="s">
        <v>271</v>
      </c>
      <c r="J535"/>
      <c r="K535"/>
      <c r="L535"/>
      <c r="M535">
        <v>2023</v>
      </c>
      <c r="N535"/>
      <c r="O535" t="s">
        <v>45</v>
      </c>
      <c r="P535"/>
      <c r="Q535"/>
      <c r="R535" s="110" t="s">
        <v>806</v>
      </c>
      <c r="S535" s="96">
        <f>+SUM(S536)</f>
        <v>120</v>
      </c>
    </row>
    <row r="536" spans="1:19" s="7" customFormat="1" x14ac:dyDescent="0.3">
      <c r="A536" t="s">
        <v>557</v>
      </c>
      <c r="B536"/>
      <c r="C536" t="s">
        <v>796</v>
      </c>
      <c r="D536" t="s">
        <v>36</v>
      </c>
      <c r="E536" t="s">
        <v>37</v>
      </c>
      <c r="F536" t="s">
        <v>38</v>
      </c>
      <c r="G536" t="s">
        <v>39</v>
      </c>
      <c r="H536">
        <v>2023</v>
      </c>
      <c r="I536" t="s">
        <v>271</v>
      </c>
      <c r="J536"/>
      <c r="K536"/>
      <c r="L536"/>
      <c r="M536">
        <v>2023</v>
      </c>
      <c r="N536"/>
      <c r="O536" t="s">
        <v>45</v>
      </c>
      <c r="P536"/>
      <c r="Q536"/>
      <c r="R536" s="104" t="s">
        <v>800</v>
      </c>
      <c r="S536" s="105">
        <v>120</v>
      </c>
    </row>
    <row r="537" spans="1:19" s="7" customFormat="1" x14ac:dyDescent="0.3">
      <c r="A537" t="s">
        <v>557</v>
      </c>
      <c r="B537"/>
      <c r="C537" t="s">
        <v>796</v>
      </c>
      <c r="D537" t="s">
        <v>36</v>
      </c>
      <c r="E537" t="s">
        <v>37</v>
      </c>
      <c r="F537" t="s">
        <v>38</v>
      </c>
      <c r="G537" t="s">
        <v>39</v>
      </c>
      <c r="H537">
        <v>2023</v>
      </c>
      <c r="I537" t="s">
        <v>271</v>
      </c>
      <c r="J537"/>
      <c r="K537"/>
      <c r="L537"/>
      <c r="M537">
        <v>2023</v>
      </c>
      <c r="N537"/>
      <c r="O537" t="s">
        <v>45</v>
      </c>
      <c r="P537"/>
      <c r="Q537" t="s">
        <v>1467</v>
      </c>
      <c r="R537" s="111" t="s">
        <v>813</v>
      </c>
      <c r="S537" s="112">
        <f>S493+S529</f>
        <v>473.46550000000002</v>
      </c>
    </row>
    <row r="538" spans="1:19" s="7" customFormat="1" x14ac:dyDescent="0.3">
      <c r="A538" t="s">
        <v>557</v>
      </c>
      <c r="B538"/>
      <c r="C538" t="s">
        <v>796</v>
      </c>
      <c r="D538" t="s">
        <v>36</v>
      </c>
      <c r="E538" t="s">
        <v>37</v>
      </c>
      <c r="F538" t="s">
        <v>38</v>
      </c>
      <c r="G538" t="s">
        <v>39</v>
      </c>
      <c r="H538">
        <v>2023</v>
      </c>
      <c r="I538" t="s">
        <v>271</v>
      </c>
      <c r="J538"/>
      <c r="K538"/>
      <c r="L538"/>
      <c r="M538">
        <v>2023</v>
      </c>
      <c r="N538"/>
      <c r="O538" t="s">
        <v>45</v>
      </c>
      <c r="P538"/>
      <c r="Q538"/>
      <c r="R538" s="113" t="s">
        <v>814</v>
      </c>
      <c r="S538" s="112">
        <f>S499+S521+S531</f>
        <v>263.189525</v>
      </c>
    </row>
    <row r="539" spans="1:19" s="7" customFormat="1" x14ac:dyDescent="0.3">
      <c r="A539" t="s">
        <v>557</v>
      </c>
      <c r="B539"/>
      <c r="C539" t="s">
        <v>796</v>
      </c>
      <c r="D539" t="s">
        <v>36</v>
      </c>
      <c r="E539" t="s">
        <v>37</v>
      </c>
      <c r="F539" t="s">
        <v>38</v>
      </c>
      <c r="G539" t="s">
        <v>39</v>
      </c>
      <c r="H539">
        <v>2023</v>
      </c>
      <c r="I539" t="s">
        <v>271</v>
      </c>
      <c r="J539"/>
      <c r="K539"/>
      <c r="L539"/>
      <c r="M539">
        <v>2023</v>
      </c>
      <c r="N539"/>
      <c r="O539" t="s">
        <v>45</v>
      </c>
      <c r="P539"/>
      <c r="Q539"/>
      <c r="R539" s="113" t="s">
        <v>815</v>
      </c>
      <c r="S539" s="112">
        <f>S504</f>
        <v>0.11</v>
      </c>
    </row>
    <row r="540" spans="1:19" s="7" customFormat="1" x14ac:dyDescent="0.3">
      <c r="A540" t="s">
        <v>557</v>
      </c>
      <c r="B540"/>
      <c r="C540" t="s">
        <v>796</v>
      </c>
      <c r="D540" t="s">
        <v>36</v>
      </c>
      <c r="E540" t="s">
        <v>37</v>
      </c>
      <c r="F540" t="s">
        <v>38</v>
      </c>
      <c r="G540" t="s">
        <v>39</v>
      </c>
      <c r="H540">
        <v>2023</v>
      </c>
      <c r="I540" t="s">
        <v>271</v>
      </c>
      <c r="J540"/>
      <c r="K540"/>
      <c r="L540"/>
      <c r="M540">
        <v>2023</v>
      </c>
      <c r="N540"/>
      <c r="O540" t="s">
        <v>45</v>
      </c>
      <c r="P540"/>
      <c r="Q540"/>
      <c r="R540" s="113" t="s">
        <v>816</v>
      </c>
      <c r="S540" s="112">
        <f>S508+S523+S533</f>
        <v>1124.5968800000001</v>
      </c>
    </row>
    <row r="541" spans="1:19" s="7" customFormat="1" x14ac:dyDescent="0.3">
      <c r="A541" t="s">
        <v>557</v>
      </c>
      <c r="B541"/>
      <c r="C541" t="s">
        <v>796</v>
      </c>
      <c r="D541" t="s">
        <v>36</v>
      </c>
      <c r="E541" t="s">
        <v>37</v>
      </c>
      <c r="F541" t="s">
        <v>38</v>
      </c>
      <c r="G541" t="s">
        <v>39</v>
      </c>
      <c r="H541">
        <v>2023</v>
      </c>
      <c r="I541" t="s">
        <v>271</v>
      </c>
      <c r="J541"/>
      <c r="K541"/>
      <c r="L541"/>
      <c r="M541">
        <v>2023</v>
      </c>
      <c r="N541"/>
      <c r="O541" t="s">
        <v>45</v>
      </c>
      <c r="P541"/>
      <c r="Q541"/>
      <c r="R541" s="113" t="s">
        <v>817</v>
      </c>
      <c r="S541" s="112">
        <f>S512</f>
        <v>2.238</v>
      </c>
    </row>
    <row r="542" spans="1:19" s="7" customFormat="1" x14ac:dyDescent="0.3">
      <c r="A542" t="s">
        <v>557</v>
      </c>
      <c r="B542"/>
      <c r="C542" t="s">
        <v>796</v>
      </c>
      <c r="D542" t="s">
        <v>36</v>
      </c>
      <c r="E542" t="s">
        <v>37</v>
      </c>
      <c r="F542" t="s">
        <v>38</v>
      </c>
      <c r="G542" t="s">
        <v>39</v>
      </c>
      <c r="H542">
        <v>2023</v>
      </c>
      <c r="I542" t="s">
        <v>271</v>
      </c>
      <c r="J542"/>
      <c r="K542"/>
      <c r="L542"/>
      <c r="M542">
        <v>2023</v>
      </c>
      <c r="N542"/>
      <c r="O542" t="s">
        <v>45</v>
      </c>
      <c r="P542"/>
      <c r="Q542"/>
      <c r="R542" s="113" t="s">
        <v>818</v>
      </c>
      <c r="S542" s="112">
        <f>S515+S525+S535</f>
        <v>298.01220000000001</v>
      </c>
    </row>
    <row r="543" spans="1:19" s="7" customFormat="1" x14ac:dyDescent="0.3">
      <c r="A543" t="s">
        <v>557</v>
      </c>
      <c r="B543"/>
      <c r="C543" t="s">
        <v>796</v>
      </c>
      <c r="D543" t="s">
        <v>36</v>
      </c>
      <c r="E543" t="s">
        <v>37</v>
      </c>
      <c r="F543" t="s">
        <v>38</v>
      </c>
      <c r="G543" t="s">
        <v>39</v>
      </c>
      <c r="H543">
        <v>2023</v>
      </c>
      <c r="I543" t="s">
        <v>271</v>
      </c>
      <c r="J543"/>
      <c r="K543"/>
      <c r="L543"/>
      <c r="M543">
        <v>2023</v>
      </c>
      <c r="N543"/>
      <c r="O543" t="s">
        <v>45</v>
      </c>
      <c r="P543"/>
      <c r="Q543" t="s">
        <v>1468</v>
      </c>
      <c r="R543" s="113" t="s">
        <v>820</v>
      </c>
      <c r="S543" s="112">
        <f>SUM(S537:S542)</f>
        <v>2161.6121050000002</v>
      </c>
    </row>
    <row r="544" spans="1:19" s="7" customFormat="1" x14ac:dyDescent="0.3">
      <c r="A544" t="s">
        <v>557</v>
      </c>
      <c r="B544"/>
      <c r="C544" t="s">
        <v>796</v>
      </c>
      <c r="D544" t="s">
        <v>36</v>
      </c>
      <c r="E544" t="s">
        <v>37</v>
      </c>
      <c r="F544" t="s">
        <v>38</v>
      </c>
      <c r="G544" t="s">
        <v>39</v>
      </c>
      <c r="H544">
        <v>2023</v>
      </c>
      <c r="I544" t="s">
        <v>271</v>
      </c>
      <c r="J544"/>
      <c r="K544"/>
      <c r="L544"/>
      <c r="M544">
        <v>2023</v>
      </c>
      <c r="N544"/>
      <c r="O544" t="s">
        <v>45</v>
      </c>
      <c r="P544"/>
      <c r="Q544" t="s">
        <v>1469</v>
      </c>
      <c r="R544" s="107" t="s">
        <v>819</v>
      </c>
      <c r="S544" s="106">
        <v>792</v>
      </c>
    </row>
    <row r="545" spans="1:19" s="7" customFormat="1" x14ac:dyDescent="0.3">
      <c r="A545" t="s">
        <v>557</v>
      </c>
      <c r="B545"/>
      <c r="C545" t="s">
        <v>829</v>
      </c>
      <c r="D545" t="s">
        <v>36</v>
      </c>
      <c r="E545" t="s">
        <v>37</v>
      </c>
      <c r="F545" t="s">
        <v>38</v>
      </c>
      <c r="G545" t="s">
        <v>39</v>
      </c>
      <c r="H545">
        <v>2023</v>
      </c>
      <c r="I545" t="s">
        <v>271</v>
      </c>
      <c r="J545"/>
      <c r="K545"/>
      <c r="L545"/>
      <c r="M545">
        <v>2023</v>
      </c>
      <c r="N545"/>
      <c r="O545" t="s">
        <v>45</v>
      </c>
      <c r="P545"/>
      <c r="Q545" t="s">
        <v>1470</v>
      </c>
      <c r="R545" s="127" t="s">
        <v>825</v>
      </c>
      <c r="S545" s="127">
        <f>S547</f>
        <v>6</v>
      </c>
    </row>
    <row r="546" spans="1:19" s="7" customFormat="1" x14ac:dyDescent="0.3">
      <c r="A546" t="s">
        <v>557</v>
      </c>
      <c r="B546"/>
      <c r="C546" t="s">
        <v>829</v>
      </c>
      <c r="D546" t="s">
        <v>36</v>
      </c>
      <c r="E546" t="s">
        <v>37</v>
      </c>
      <c r="F546" t="s">
        <v>38</v>
      </c>
      <c r="G546" t="s">
        <v>39</v>
      </c>
      <c r="H546">
        <v>2023</v>
      </c>
      <c r="I546" t="s">
        <v>271</v>
      </c>
      <c r="J546"/>
      <c r="K546"/>
      <c r="L546"/>
      <c r="M546">
        <v>2023</v>
      </c>
      <c r="N546"/>
      <c r="O546" t="s">
        <v>45</v>
      </c>
      <c r="P546"/>
      <c r="Q546" t="s">
        <v>1470</v>
      </c>
      <c r="R546" s="127" t="s">
        <v>826</v>
      </c>
      <c r="S546" s="127">
        <f>S548</f>
        <v>33</v>
      </c>
    </row>
    <row r="547" spans="1:19" s="7" customFormat="1" x14ac:dyDescent="0.3">
      <c r="A547" t="s">
        <v>557</v>
      </c>
      <c r="B547"/>
      <c r="C547" t="s">
        <v>829</v>
      </c>
      <c r="D547" t="s">
        <v>36</v>
      </c>
      <c r="E547" t="s">
        <v>37</v>
      </c>
      <c r="F547" t="s">
        <v>38</v>
      </c>
      <c r="G547" t="s">
        <v>39</v>
      </c>
      <c r="H547">
        <v>2023</v>
      </c>
      <c r="I547" t="s">
        <v>271</v>
      </c>
      <c r="J547"/>
      <c r="K547"/>
      <c r="L547"/>
      <c r="M547">
        <v>2023</v>
      </c>
      <c r="N547"/>
      <c r="O547" t="s">
        <v>45</v>
      </c>
      <c r="P547"/>
      <c r="Q547" t="s">
        <v>1471</v>
      </c>
      <c r="R547" s="126" t="s">
        <v>827</v>
      </c>
      <c r="S547" s="126">
        <v>6</v>
      </c>
    </row>
    <row r="548" spans="1:19" s="7" customFormat="1" x14ac:dyDescent="0.3">
      <c r="A548" t="s">
        <v>557</v>
      </c>
      <c r="B548"/>
      <c r="C548" t="s">
        <v>829</v>
      </c>
      <c r="D548" t="s">
        <v>36</v>
      </c>
      <c r="E548" t="s">
        <v>37</v>
      </c>
      <c r="F548" t="s">
        <v>38</v>
      </c>
      <c r="G548" t="s">
        <v>39</v>
      </c>
      <c r="H548">
        <v>2023</v>
      </c>
      <c r="I548" t="s">
        <v>271</v>
      </c>
      <c r="J548"/>
      <c r="K548"/>
      <c r="L548"/>
      <c r="M548">
        <v>2023</v>
      </c>
      <c r="N548"/>
      <c r="O548" t="s">
        <v>45</v>
      </c>
      <c r="P548"/>
      <c r="Q548" t="s">
        <v>1471</v>
      </c>
      <c r="R548" s="126" t="s">
        <v>828</v>
      </c>
      <c r="S548" s="126">
        <v>33</v>
      </c>
    </row>
    <row r="549" spans="1:19" s="7" customFormat="1" x14ac:dyDescent="0.3">
      <c r="A549" t="s">
        <v>557</v>
      </c>
      <c r="B549"/>
      <c r="C549" t="s">
        <v>829</v>
      </c>
      <c r="D549" t="s">
        <v>36</v>
      </c>
      <c r="E549" t="s">
        <v>37</v>
      </c>
      <c r="F549" t="s">
        <v>38</v>
      </c>
      <c r="G549" t="s">
        <v>39</v>
      </c>
      <c r="H549">
        <v>2023</v>
      </c>
      <c r="I549" t="s">
        <v>271</v>
      </c>
      <c r="J549"/>
      <c r="K549"/>
      <c r="L549"/>
      <c r="M549">
        <v>2023</v>
      </c>
      <c r="N549"/>
      <c r="O549" t="s">
        <v>45</v>
      </c>
      <c r="P549"/>
      <c r="Q549" t="s">
        <v>1470</v>
      </c>
      <c r="R549" s="127" t="s">
        <v>830</v>
      </c>
      <c r="S549" s="127">
        <f>S551+S553</f>
        <v>3</v>
      </c>
    </row>
    <row r="550" spans="1:19" s="7" customFormat="1" x14ac:dyDescent="0.3">
      <c r="A550" t="s">
        <v>557</v>
      </c>
      <c r="B550"/>
      <c r="C550" t="s">
        <v>829</v>
      </c>
      <c r="D550" t="s">
        <v>36</v>
      </c>
      <c r="E550" t="s">
        <v>37</v>
      </c>
      <c r="F550" t="s">
        <v>38</v>
      </c>
      <c r="G550" t="s">
        <v>39</v>
      </c>
      <c r="H550">
        <v>2023</v>
      </c>
      <c r="I550" t="s">
        <v>271</v>
      </c>
      <c r="J550"/>
      <c r="K550"/>
      <c r="L550"/>
      <c r="M550">
        <v>2023</v>
      </c>
      <c r="N550"/>
      <c r="O550" t="s">
        <v>45</v>
      </c>
      <c r="P550"/>
      <c r="Q550" t="s">
        <v>1470</v>
      </c>
      <c r="R550" s="127" t="s">
        <v>831</v>
      </c>
      <c r="S550" s="127">
        <f>S552+S554</f>
        <v>10</v>
      </c>
    </row>
    <row r="551" spans="1:19" s="7" customFormat="1" x14ac:dyDescent="0.3">
      <c r="A551" t="s">
        <v>557</v>
      </c>
      <c r="B551"/>
      <c r="C551" t="s">
        <v>829</v>
      </c>
      <c r="D551" t="s">
        <v>36</v>
      </c>
      <c r="E551" t="s">
        <v>37</v>
      </c>
      <c r="F551" t="s">
        <v>38</v>
      </c>
      <c r="G551" t="s">
        <v>39</v>
      </c>
      <c r="H551">
        <v>2023</v>
      </c>
      <c r="I551" t="s">
        <v>271</v>
      </c>
      <c r="J551"/>
      <c r="K551"/>
      <c r="L551"/>
      <c r="M551">
        <v>2023</v>
      </c>
      <c r="N551"/>
      <c r="O551" t="s">
        <v>45</v>
      </c>
      <c r="P551"/>
      <c r="Q551" t="s">
        <v>1471</v>
      </c>
      <c r="R551" s="126" t="s">
        <v>832</v>
      </c>
      <c r="S551" s="126">
        <v>2</v>
      </c>
    </row>
    <row r="552" spans="1:19" s="7" customFormat="1" x14ac:dyDescent="0.3">
      <c r="A552" t="s">
        <v>557</v>
      </c>
      <c r="B552"/>
      <c r="C552" t="s">
        <v>829</v>
      </c>
      <c r="D552" t="s">
        <v>36</v>
      </c>
      <c r="E552" t="s">
        <v>37</v>
      </c>
      <c r="F552" t="s">
        <v>38</v>
      </c>
      <c r="G552" t="s">
        <v>39</v>
      </c>
      <c r="H552">
        <v>2023</v>
      </c>
      <c r="I552" t="s">
        <v>271</v>
      </c>
      <c r="J552"/>
      <c r="K552"/>
      <c r="L552"/>
      <c r="M552">
        <v>2023</v>
      </c>
      <c r="N552"/>
      <c r="O552" t="s">
        <v>45</v>
      </c>
      <c r="P552"/>
      <c r="Q552" t="s">
        <v>1471</v>
      </c>
      <c r="R552" s="126" t="s">
        <v>833</v>
      </c>
      <c r="S552" s="126">
        <v>7</v>
      </c>
    </row>
    <row r="553" spans="1:19" s="7" customFormat="1" x14ac:dyDescent="0.3">
      <c r="A553" t="s">
        <v>557</v>
      </c>
      <c r="B553"/>
      <c r="C553" t="s">
        <v>829</v>
      </c>
      <c r="D553" t="s">
        <v>36</v>
      </c>
      <c r="E553" t="s">
        <v>37</v>
      </c>
      <c r="F553" t="s">
        <v>38</v>
      </c>
      <c r="G553" t="s">
        <v>39</v>
      </c>
      <c r="H553">
        <v>2023</v>
      </c>
      <c r="I553" t="s">
        <v>271</v>
      </c>
      <c r="J553"/>
      <c r="K553"/>
      <c r="L553"/>
      <c r="M553">
        <v>2023</v>
      </c>
      <c r="N553"/>
      <c r="O553" t="s">
        <v>45</v>
      </c>
      <c r="P553"/>
      <c r="Q553" t="s">
        <v>1471</v>
      </c>
      <c r="R553" s="126" t="s">
        <v>834</v>
      </c>
      <c r="S553" s="126">
        <v>1</v>
      </c>
    </row>
    <row r="554" spans="1:19" s="7" customFormat="1" x14ac:dyDescent="0.3">
      <c r="A554" t="s">
        <v>557</v>
      </c>
      <c r="B554"/>
      <c r="C554" t="s">
        <v>829</v>
      </c>
      <c r="D554" t="s">
        <v>36</v>
      </c>
      <c r="E554" t="s">
        <v>37</v>
      </c>
      <c r="F554" t="s">
        <v>38</v>
      </c>
      <c r="G554" t="s">
        <v>39</v>
      </c>
      <c r="H554">
        <v>2023</v>
      </c>
      <c r="I554" t="s">
        <v>271</v>
      </c>
      <c r="J554"/>
      <c r="K554"/>
      <c r="L554"/>
      <c r="M554">
        <v>2023</v>
      </c>
      <c r="N554"/>
      <c r="O554" t="s">
        <v>45</v>
      </c>
      <c r="P554"/>
      <c r="Q554" t="s">
        <v>1471</v>
      </c>
      <c r="R554" s="126" t="s">
        <v>835</v>
      </c>
      <c r="S554" s="126">
        <v>3</v>
      </c>
    </row>
    <row r="555" spans="1:19" s="7" customFormat="1" x14ac:dyDescent="0.3">
      <c r="A555" t="s">
        <v>557</v>
      </c>
      <c r="B555"/>
      <c r="C555" t="s">
        <v>829</v>
      </c>
      <c r="D555" t="s">
        <v>36</v>
      </c>
      <c r="E555" t="s">
        <v>37</v>
      </c>
      <c r="F555" t="s">
        <v>38</v>
      </c>
      <c r="G555" t="s">
        <v>39</v>
      </c>
      <c r="H555">
        <v>2023</v>
      </c>
      <c r="I555" t="s">
        <v>271</v>
      </c>
      <c r="J555"/>
      <c r="K555"/>
      <c r="L555"/>
      <c r="M555">
        <v>2023</v>
      </c>
      <c r="N555"/>
      <c r="O555" t="s">
        <v>45</v>
      </c>
      <c r="P555"/>
      <c r="Q555" t="s">
        <v>1470</v>
      </c>
      <c r="R555" s="127" t="s">
        <v>836</v>
      </c>
      <c r="S555" s="68">
        <f>S557+S559+S561+S563+S565+S567+S569+S571+S573+S575</f>
        <v>36</v>
      </c>
    </row>
    <row r="556" spans="1:19" s="7" customFormat="1" x14ac:dyDescent="0.3">
      <c r="A556" t="s">
        <v>557</v>
      </c>
      <c r="B556"/>
      <c r="C556" t="s">
        <v>829</v>
      </c>
      <c r="D556" t="s">
        <v>36</v>
      </c>
      <c r="E556" t="s">
        <v>37</v>
      </c>
      <c r="F556" t="s">
        <v>38</v>
      </c>
      <c r="G556" t="s">
        <v>39</v>
      </c>
      <c r="H556">
        <v>2023</v>
      </c>
      <c r="I556" t="s">
        <v>271</v>
      </c>
      <c r="J556"/>
      <c r="K556"/>
      <c r="L556"/>
      <c r="M556">
        <v>2023</v>
      </c>
      <c r="N556"/>
      <c r="O556" t="s">
        <v>45</v>
      </c>
      <c r="P556"/>
      <c r="Q556" t="s">
        <v>1470</v>
      </c>
      <c r="R556" s="127" t="s">
        <v>837</v>
      </c>
      <c r="S556" s="68">
        <f>S558+S560+S562+S564+S566+S568+S570+S572+S574+S576</f>
        <v>99</v>
      </c>
    </row>
    <row r="557" spans="1:19" s="7" customFormat="1" x14ac:dyDescent="0.3">
      <c r="A557" t="s">
        <v>557</v>
      </c>
      <c r="B557"/>
      <c r="C557" t="s">
        <v>829</v>
      </c>
      <c r="D557" t="s">
        <v>36</v>
      </c>
      <c r="E557" t="s">
        <v>37</v>
      </c>
      <c r="F557" t="s">
        <v>38</v>
      </c>
      <c r="G557" t="s">
        <v>39</v>
      </c>
      <c r="H557">
        <v>2023</v>
      </c>
      <c r="I557" t="s">
        <v>271</v>
      </c>
      <c r="J557"/>
      <c r="K557"/>
      <c r="L557"/>
      <c r="M557">
        <v>2023</v>
      </c>
      <c r="N557"/>
      <c r="O557" t="s">
        <v>45</v>
      </c>
      <c r="P557"/>
      <c r="Q557" t="s">
        <v>1472</v>
      </c>
      <c r="R557" s="126" t="s">
        <v>838</v>
      </c>
      <c r="S557" s="126">
        <v>0</v>
      </c>
    </row>
    <row r="558" spans="1:19" s="7" customFormat="1" x14ac:dyDescent="0.3">
      <c r="A558" t="s">
        <v>557</v>
      </c>
      <c r="B558"/>
      <c r="C558" t="s">
        <v>829</v>
      </c>
      <c r="D558" t="s">
        <v>36</v>
      </c>
      <c r="E558" t="s">
        <v>37</v>
      </c>
      <c r="F558" t="s">
        <v>38</v>
      </c>
      <c r="G558" t="s">
        <v>39</v>
      </c>
      <c r="H558">
        <v>2023</v>
      </c>
      <c r="I558" t="s">
        <v>271</v>
      </c>
      <c r="J558"/>
      <c r="K558"/>
      <c r="L558"/>
      <c r="M558">
        <v>2023</v>
      </c>
      <c r="N558"/>
      <c r="O558" t="s">
        <v>45</v>
      </c>
      <c r="P558"/>
      <c r="Q558" t="s">
        <v>1472</v>
      </c>
      <c r="R558" s="126" t="s">
        <v>839</v>
      </c>
      <c r="S558" s="126">
        <v>5</v>
      </c>
    </row>
    <row r="559" spans="1:19" s="7" customFormat="1" x14ac:dyDescent="0.3">
      <c r="A559" t="s">
        <v>557</v>
      </c>
      <c r="B559"/>
      <c r="C559" t="s">
        <v>829</v>
      </c>
      <c r="D559" t="s">
        <v>36</v>
      </c>
      <c r="E559" t="s">
        <v>37</v>
      </c>
      <c r="F559" t="s">
        <v>38</v>
      </c>
      <c r="G559" t="s">
        <v>39</v>
      </c>
      <c r="H559">
        <v>2023</v>
      </c>
      <c r="I559" t="s">
        <v>271</v>
      </c>
      <c r="J559"/>
      <c r="K559"/>
      <c r="L559"/>
      <c r="M559">
        <v>2023</v>
      </c>
      <c r="N559"/>
      <c r="O559" t="s">
        <v>45</v>
      </c>
      <c r="P559"/>
      <c r="Q559" t="s">
        <v>1473</v>
      </c>
      <c r="R559" s="126" t="s">
        <v>840</v>
      </c>
      <c r="S559" s="126">
        <v>2</v>
      </c>
    </row>
    <row r="560" spans="1:19" s="7" customFormat="1" x14ac:dyDescent="0.3">
      <c r="A560" t="s">
        <v>557</v>
      </c>
      <c r="B560"/>
      <c r="C560" t="s">
        <v>829</v>
      </c>
      <c r="D560" t="s">
        <v>36</v>
      </c>
      <c r="E560" t="s">
        <v>37</v>
      </c>
      <c r="F560" t="s">
        <v>38</v>
      </c>
      <c r="G560" t="s">
        <v>39</v>
      </c>
      <c r="H560">
        <v>2023</v>
      </c>
      <c r="I560" t="s">
        <v>271</v>
      </c>
      <c r="J560"/>
      <c r="K560"/>
      <c r="L560"/>
      <c r="M560">
        <v>2023</v>
      </c>
      <c r="N560"/>
      <c r="O560" t="s">
        <v>45</v>
      </c>
      <c r="P560"/>
      <c r="Q560" t="s">
        <v>1473</v>
      </c>
      <c r="R560" s="126" t="s">
        <v>841</v>
      </c>
      <c r="S560" s="126">
        <v>15</v>
      </c>
    </row>
    <row r="561" spans="1:19" s="7" customFormat="1" x14ac:dyDescent="0.3">
      <c r="A561" t="s">
        <v>557</v>
      </c>
      <c r="B561"/>
      <c r="C561" t="s">
        <v>829</v>
      </c>
      <c r="D561" t="s">
        <v>36</v>
      </c>
      <c r="E561" t="s">
        <v>37</v>
      </c>
      <c r="F561" t="s">
        <v>38</v>
      </c>
      <c r="G561" t="s">
        <v>39</v>
      </c>
      <c r="H561">
        <v>2023</v>
      </c>
      <c r="I561" t="s">
        <v>271</v>
      </c>
      <c r="J561"/>
      <c r="K561"/>
      <c r="L561"/>
      <c r="M561">
        <v>2023</v>
      </c>
      <c r="N561"/>
      <c r="O561" t="s">
        <v>45</v>
      </c>
      <c r="P561"/>
      <c r="Q561" t="s">
        <v>1471</v>
      </c>
      <c r="R561" s="126" t="s">
        <v>842</v>
      </c>
      <c r="S561" s="126">
        <v>8</v>
      </c>
    </row>
    <row r="562" spans="1:19" s="7" customFormat="1" x14ac:dyDescent="0.3">
      <c r="A562" t="s">
        <v>557</v>
      </c>
      <c r="B562"/>
      <c r="C562" t="s">
        <v>829</v>
      </c>
      <c r="D562" t="s">
        <v>36</v>
      </c>
      <c r="E562" t="s">
        <v>37</v>
      </c>
      <c r="F562" t="s">
        <v>38</v>
      </c>
      <c r="G562" t="s">
        <v>39</v>
      </c>
      <c r="H562">
        <v>2023</v>
      </c>
      <c r="I562" t="s">
        <v>271</v>
      </c>
      <c r="J562"/>
      <c r="K562"/>
      <c r="L562"/>
      <c r="M562">
        <v>2023</v>
      </c>
      <c r="N562"/>
      <c r="O562" t="s">
        <v>45</v>
      </c>
      <c r="P562"/>
      <c r="Q562" t="s">
        <v>1471</v>
      </c>
      <c r="R562" s="126" t="s">
        <v>843</v>
      </c>
      <c r="S562" s="126">
        <v>19</v>
      </c>
    </row>
    <row r="563" spans="1:19" s="7" customFormat="1" x14ac:dyDescent="0.3">
      <c r="A563" t="s">
        <v>557</v>
      </c>
      <c r="B563"/>
      <c r="C563" t="s">
        <v>829</v>
      </c>
      <c r="D563" t="s">
        <v>36</v>
      </c>
      <c r="E563" t="s">
        <v>37</v>
      </c>
      <c r="F563" t="s">
        <v>38</v>
      </c>
      <c r="G563" t="s">
        <v>39</v>
      </c>
      <c r="H563">
        <v>2023</v>
      </c>
      <c r="I563" t="s">
        <v>271</v>
      </c>
      <c r="J563"/>
      <c r="K563"/>
      <c r="L563"/>
      <c r="M563">
        <v>2023</v>
      </c>
      <c r="N563"/>
      <c r="O563" t="s">
        <v>45</v>
      </c>
      <c r="P563"/>
      <c r="Q563" t="s">
        <v>1471</v>
      </c>
      <c r="R563" s="126" t="s">
        <v>844</v>
      </c>
      <c r="S563" s="126">
        <v>0</v>
      </c>
    </row>
    <row r="564" spans="1:19" s="7" customFormat="1" x14ac:dyDescent="0.3">
      <c r="A564" t="s">
        <v>557</v>
      </c>
      <c r="B564"/>
      <c r="C564" t="s">
        <v>829</v>
      </c>
      <c r="D564" t="s">
        <v>36</v>
      </c>
      <c r="E564" t="s">
        <v>37</v>
      </c>
      <c r="F564" t="s">
        <v>38</v>
      </c>
      <c r="G564" t="s">
        <v>39</v>
      </c>
      <c r="H564">
        <v>2023</v>
      </c>
      <c r="I564" t="s">
        <v>271</v>
      </c>
      <c r="J564"/>
      <c r="K564"/>
      <c r="L564"/>
      <c r="M564">
        <v>2023</v>
      </c>
      <c r="N564"/>
      <c r="O564" t="s">
        <v>45</v>
      </c>
      <c r="P564"/>
      <c r="Q564" t="s">
        <v>1471</v>
      </c>
      <c r="R564" s="126" t="s">
        <v>845</v>
      </c>
      <c r="S564" s="126">
        <v>3</v>
      </c>
    </row>
    <row r="565" spans="1:19" s="7" customFormat="1" x14ac:dyDescent="0.3">
      <c r="A565" t="s">
        <v>557</v>
      </c>
      <c r="B565"/>
      <c r="C565" t="s">
        <v>829</v>
      </c>
      <c r="D565" t="s">
        <v>36</v>
      </c>
      <c r="E565" t="s">
        <v>37</v>
      </c>
      <c r="F565" t="s">
        <v>38</v>
      </c>
      <c r="G565" t="s">
        <v>39</v>
      </c>
      <c r="H565">
        <v>2023</v>
      </c>
      <c r="I565" t="s">
        <v>271</v>
      </c>
      <c r="J565"/>
      <c r="K565"/>
      <c r="L565"/>
      <c r="M565">
        <v>2023</v>
      </c>
      <c r="N565"/>
      <c r="O565" t="s">
        <v>45</v>
      </c>
      <c r="P565"/>
      <c r="Q565" t="s">
        <v>1471</v>
      </c>
      <c r="R565" s="126" t="s">
        <v>846</v>
      </c>
      <c r="S565" s="126">
        <v>13</v>
      </c>
    </row>
    <row r="566" spans="1:19" s="7" customFormat="1" x14ac:dyDescent="0.3">
      <c r="A566" t="s">
        <v>557</v>
      </c>
      <c r="B566"/>
      <c r="C566" t="s">
        <v>829</v>
      </c>
      <c r="D566" t="s">
        <v>36</v>
      </c>
      <c r="E566" t="s">
        <v>37</v>
      </c>
      <c r="F566" t="s">
        <v>38</v>
      </c>
      <c r="G566" t="s">
        <v>39</v>
      </c>
      <c r="H566">
        <v>2023</v>
      </c>
      <c r="I566" t="s">
        <v>271</v>
      </c>
      <c r="J566"/>
      <c r="K566"/>
      <c r="L566"/>
      <c r="M566">
        <v>2023</v>
      </c>
      <c r="N566"/>
      <c r="O566" t="s">
        <v>45</v>
      </c>
      <c r="P566"/>
      <c r="Q566" t="s">
        <v>1471</v>
      </c>
      <c r="R566" s="126" t="s">
        <v>847</v>
      </c>
      <c r="S566" s="126">
        <v>11</v>
      </c>
    </row>
    <row r="567" spans="1:19" s="7" customFormat="1" x14ac:dyDescent="0.3">
      <c r="A567" t="s">
        <v>557</v>
      </c>
      <c r="B567"/>
      <c r="C567" t="s">
        <v>829</v>
      </c>
      <c r="D567" t="s">
        <v>36</v>
      </c>
      <c r="E567" t="s">
        <v>37</v>
      </c>
      <c r="F567" t="s">
        <v>38</v>
      </c>
      <c r="G567" t="s">
        <v>39</v>
      </c>
      <c r="H567">
        <v>2023</v>
      </c>
      <c r="I567" t="s">
        <v>271</v>
      </c>
      <c r="J567"/>
      <c r="K567"/>
      <c r="L567"/>
      <c r="M567">
        <v>2023</v>
      </c>
      <c r="N567"/>
      <c r="O567" t="s">
        <v>45</v>
      </c>
      <c r="P567"/>
      <c r="Q567" t="s">
        <v>1471</v>
      </c>
      <c r="R567" s="126" t="s">
        <v>848</v>
      </c>
      <c r="S567" s="126">
        <v>1</v>
      </c>
    </row>
    <row r="568" spans="1:19" s="7" customFormat="1" x14ac:dyDescent="0.3">
      <c r="A568" t="s">
        <v>557</v>
      </c>
      <c r="B568"/>
      <c r="C568" t="s">
        <v>829</v>
      </c>
      <c r="D568" t="s">
        <v>36</v>
      </c>
      <c r="E568" t="s">
        <v>37</v>
      </c>
      <c r="F568" t="s">
        <v>38</v>
      </c>
      <c r="G568" t="s">
        <v>39</v>
      </c>
      <c r="H568">
        <v>2023</v>
      </c>
      <c r="I568" t="s">
        <v>271</v>
      </c>
      <c r="J568"/>
      <c r="K568"/>
      <c r="L568"/>
      <c r="M568">
        <v>2023</v>
      </c>
      <c r="N568"/>
      <c r="O568" t="s">
        <v>45</v>
      </c>
      <c r="P568"/>
      <c r="Q568" t="s">
        <v>1471</v>
      </c>
      <c r="R568" s="126" t="s">
        <v>849</v>
      </c>
      <c r="S568" s="126">
        <v>1</v>
      </c>
    </row>
    <row r="569" spans="1:19" s="7" customFormat="1" x14ac:dyDescent="0.3">
      <c r="A569" t="s">
        <v>557</v>
      </c>
      <c r="B569"/>
      <c r="C569" t="s">
        <v>829</v>
      </c>
      <c r="D569" t="s">
        <v>36</v>
      </c>
      <c r="E569" t="s">
        <v>37</v>
      </c>
      <c r="F569" t="s">
        <v>38</v>
      </c>
      <c r="G569" t="s">
        <v>39</v>
      </c>
      <c r="H569">
        <v>2023</v>
      </c>
      <c r="I569" t="s">
        <v>271</v>
      </c>
      <c r="J569"/>
      <c r="K569"/>
      <c r="L569"/>
      <c r="M569">
        <v>2023</v>
      </c>
      <c r="N569"/>
      <c r="O569" t="s">
        <v>45</v>
      </c>
      <c r="P569"/>
      <c r="Q569" t="s">
        <v>1471</v>
      </c>
      <c r="R569" s="126" t="s">
        <v>850</v>
      </c>
      <c r="S569" s="126">
        <v>4</v>
      </c>
    </row>
    <row r="570" spans="1:19" s="7" customFormat="1" x14ac:dyDescent="0.3">
      <c r="A570" t="s">
        <v>557</v>
      </c>
      <c r="B570"/>
      <c r="C570" t="s">
        <v>829</v>
      </c>
      <c r="D570" t="s">
        <v>36</v>
      </c>
      <c r="E570" t="s">
        <v>37</v>
      </c>
      <c r="F570" t="s">
        <v>38</v>
      </c>
      <c r="G570" t="s">
        <v>39</v>
      </c>
      <c r="H570">
        <v>2023</v>
      </c>
      <c r="I570" t="s">
        <v>271</v>
      </c>
      <c r="J570"/>
      <c r="K570"/>
      <c r="L570"/>
      <c r="M570">
        <v>2023</v>
      </c>
      <c r="N570"/>
      <c r="O570" t="s">
        <v>45</v>
      </c>
      <c r="P570"/>
      <c r="Q570" t="s">
        <v>1471</v>
      </c>
      <c r="R570" s="126" t="s">
        <v>851</v>
      </c>
      <c r="S570" s="126">
        <v>29</v>
      </c>
    </row>
    <row r="571" spans="1:19" s="7" customFormat="1" x14ac:dyDescent="0.3">
      <c r="A571" t="s">
        <v>557</v>
      </c>
      <c r="B571"/>
      <c r="C571" t="s">
        <v>829</v>
      </c>
      <c r="D571" t="s">
        <v>36</v>
      </c>
      <c r="E571" t="s">
        <v>37</v>
      </c>
      <c r="F571" t="s">
        <v>38</v>
      </c>
      <c r="G571" t="s">
        <v>39</v>
      </c>
      <c r="H571">
        <v>2023</v>
      </c>
      <c r="I571" t="s">
        <v>271</v>
      </c>
      <c r="J571"/>
      <c r="K571"/>
      <c r="L571"/>
      <c r="M571">
        <v>2023</v>
      </c>
      <c r="N571"/>
      <c r="O571" t="s">
        <v>45</v>
      </c>
      <c r="P571"/>
      <c r="Q571" t="s">
        <v>1471</v>
      </c>
      <c r="R571" s="126" t="s">
        <v>852</v>
      </c>
      <c r="S571" s="126">
        <v>2</v>
      </c>
    </row>
    <row r="572" spans="1:19" s="7" customFormat="1" x14ac:dyDescent="0.3">
      <c r="A572" t="s">
        <v>557</v>
      </c>
      <c r="B572"/>
      <c r="C572" t="s">
        <v>829</v>
      </c>
      <c r="D572" t="s">
        <v>36</v>
      </c>
      <c r="E572" t="s">
        <v>37</v>
      </c>
      <c r="F572" t="s">
        <v>38</v>
      </c>
      <c r="G572" t="s">
        <v>39</v>
      </c>
      <c r="H572">
        <v>2023</v>
      </c>
      <c r="I572" t="s">
        <v>271</v>
      </c>
      <c r="J572"/>
      <c r="K572"/>
      <c r="L572"/>
      <c r="M572">
        <v>2023</v>
      </c>
      <c r="N572"/>
      <c r="O572" t="s">
        <v>45</v>
      </c>
      <c r="P572"/>
      <c r="Q572" t="s">
        <v>1471</v>
      </c>
      <c r="R572" s="126" t="s">
        <v>853</v>
      </c>
      <c r="S572" s="126">
        <v>1</v>
      </c>
    </row>
    <row r="573" spans="1:19" s="7" customFormat="1" x14ac:dyDescent="0.3">
      <c r="A573" t="s">
        <v>557</v>
      </c>
      <c r="B573"/>
      <c r="C573" t="s">
        <v>829</v>
      </c>
      <c r="D573" t="s">
        <v>36</v>
      </c>
      <c r="E573" t="s">
        <v>37</v>
      </c>
      <c r="F573" t="s">
        <v>38</v>
      </c>
      <c r="G573" t="s">
        <v>39</v>
      </c>
      <c r="H573">
        <v>2023</v>
      </c>
      <c r="I573" t="s">
        <v>271</v>
      </c>
      <c r="J573"/>
      <c r="K573"/>
      <c r="L573"/>
      <c r="M573">
        <v>2023</v>
      </c>
      <c r="N573"/>
      <c r="O573" t="s">
        <v>45</v>
      </c>
      <c r="P573"/>
      <c r="Q573" t="s">
        <v>1471</v>
      </c>
      <c r="R573" s="126" t="s">
        <v>854</v>
      </c>
      <c r="S573" s="126">
        <v>6</v>
      </c>
    </row>
    <row r="574" spans="1:19" s="7" customFormat="1" x14ac:dyDescent="0.3">
      <c r="A574" t="s">
        <v>557</v>
      </c>
      <c r="B574"/>
      <c r="C574" t="s">
        <v>829</v>
      </c>
      <c r="D574" t="s">
        <v>36</v>
      </c>
      <c r="E574" t="s">
        <v>37</v>
      </c>
      <c r="F574" t="s">
        <v>38</v>
      </c>
      <c r="G574" t="s">
        <v>39</v>
      </c>
      <c r="H574">
        <v>2023</v>
      </c>
      <c r="I574" t="s">
        <v>271</v>
      </c>
      <c r="J574"/>
      <c r="K574"/>
      <c r="L574"/>
      <c r="M574">
        <v>2023</v>
      </c>
      <c r="N574"/>
      <c r="O574" t="s">
        <v>45</v>
      </c>
      <c r="P574"/>
      <c r="Q574" t="s">
        <v>1471</v>
      </c>
      <c r="R574" s="126" t="s">
        <v>855</v>
      </c>
      <c r="S574" s="126">
        <v>14</v>
      </c>
    </row>
    <row r="575" spans="1:19" s="7" customFormat="1" x14ac:dyDescent="0.3">
      <c r="A575" t="s">
        <v>557</v>
      </c>
      <c r="B575"/>
      <c r="C575" t="s">
        <v>829</v>
      </c>
      <c r="D575" t="s">
        <v>36</v>
      </c>
      <c r="E575" t="s">
        <v>37</v>
      </c>
      <c r="F575" t="s">
        <v>38</v>
      </c>
      <c r="G575" t="s">
        <v>39</v>
      </c>
      <c r="H575">
        <v>2023</v>
      </c>
      <c r="I575" t="s">
        <v>271</v>
      </c>
      <c r="J575"/>
      <c r="K575"/>
      <c r="L575"/>
      <c r="M575">
        <v>2023</v>
      </c>
      <c r="N575"/>
      <c r="O575" t="s">
        <v>45</v>
      </c>
      <c r="P575"/>
      <c r="Q575" t="s">
        <v>1474</v>
      </c>
      <c r="R575" s="126" t="s">
        <v>856</v>
      </c>
      <c r="S575" s="126">
        <v>0</v>
      </c>
    </row>
    <row r="576" spans="1:19" s="7" customFormat="1" x14ac:dyDescent="0.3">
      <c r="A576" t="s">
        <v>557</v>
      </c>
      <c r="B576"/>
      <c r="C576" t="s">
        <v>829</v>
      </c>
      <c r="D576" t="s">
        <v>36</v>
      </c>
      <c r="E576" t="s">
        <v>37</v>
      </c>
      <c r="F576" t="s">
        <v>38</v>
      </c>
      <c r="G576" t="s">
        <v>39</v>
      </c>
      <c r="H576">
        <v>2023</v>
      </c>
      <c r="I576" t="s">
        <v>271</v>
      </c>
      <c r="J576"/>
      <c r="K576"/>
      <c r="L576"/>
      <c r="M576">
        <v>2023</v>
      </c>
      <c r="N576"/>
      <c r="O576" t="s">
        <v>45</v>
      </c>
      <c r="P576"/>
      <c r="Q576" t="s">
        <v>1474</v>
      </c>
      <c r="R576" s="126" t="s">
        <v>857</v>
      </c>
      <c r="S576" s="126">
        <v>1</v>
      </c>
    </row>
    <row r="577" spans="1:19" s="7" customFormat="1" x14ac:dyDescent="0.3">
      <c r="A577" t="s">
        <v>557</v>
      </c>
      <c r="B577"/>
      <c r="C577" t="s">
        <v>829</v>
      </c>
      <c r="D577" t="s">
        <v>36</v>
      </c>
      <c r="E577" t="s">
        <v>37</v>
      </c>
      <c r="F577" t="s">
        <v>38</v>
      </c>
      <c r="G577" t="s">
        <v>39</v>
      </c>
      <c r="H577">
        <v>2023</v>
      </c>
      <c r="I577" t="s">
        <v>271</v>
      </c>
      <c r="J577"/>
      <c r="K577"/>
      <c r="L577"/>
      <c r="M577">
        <v>2023</v>
      </c>
      <c r="N577"/>
      <c r="O577" t="s">
        <v>45</v>
      </c>
      <c r="P577"/>
      <c r="Q577" t="s">
        <v>1475</v>
      </c>
      <c r="R577" s="127" t="s">
        <v>858</v>
      </c>
      <c r="S577" s="127">
        <f>S579+S581+S583+S585+S587+S589</f>
        <v>21</v>
      </c>
    </row>
    <row r="578" spans="1:19" s="7" customFormat="1" x14ac:dyDescent="0.3">
      <c r="A578" t="s">
        <v>557</v>
      </c>
      <c r="B578"/>
      <c r="C578" t="s">
        <v>829</v>
      </c>
      <c r="D578" t="s">
        <v>36</v>
      </c>
      <c r="E578" t="s">
        <v>37</v>
      </c>
      <c r="F578" t="s">
        <v>38</v>
      </c>
      <c r="G578" t="s">
        <v>39</v>
      </c>
      <c r="H578">
        <v>2023</v>
      </c>
      <c r="I578" t="s">
        <v>271</v>
      </c>
      <c r="J578"/>
      <c r="K578"/>
      <c r="L578"/>
      <c r="M578">
        <v>2023</v>
      </c>
      <c r="N578"/>
      <c r="O578" t="s">
        <v>45</v>
      </c>
      <c r="P578"/>
      <c r="Q578" t="s">
        <v>1475</v>
      </c>
      <c r="R578" s="127" t="s">
        <v>859</v>
      </c>
      <c r="S578" s="127">
        <f>S580+S582+S584+S586+S588+S590</f>
        <v>6</v>
      </c>
    </row>
    <row r="579" spans="1:19" s="7" customFormat="1" x14ac:dyDescent="0.3">
      <c r="A579" t="s">
        <v>557</v>
      </c>
      <c r="B579"/>
      <c r="C579" t="s">
        <v>829</v>
      </c>
      <c r="D579" t="s">
        <v>36</v>
      </c>
      <c r="E579" t="s">
        <v>37</v>
      </c>
      <c r="F579" t="s">
        <v>38</v>
      </c>
      <c r="G579" t="s">
        <v>39</v>
      </c>
      <c r="H579">
        <v>2023</v>
      </c>
      <c r="I579" t="s">
        <v>271</v>
      </c>
      <c r="J579"/>
      <c r="K579"/>
      <c r="L579"/>
      <c r="M579">
        <v>2023</v>
      </c>
      <c r="N579"/>
      <c r="O579" t="s">
        <v>45</v>
      </c>
      <c r="P579"/>
      <c r="Q579" t="s">
        <v>1476</v>
      </c>
      <c r="R579" s="126" t="s">
        <v>860</v>
      </c>
      <c r="S579" s="126">
        <v>6</v>
      </c>
    </row>
    <row r="580" spans="1:19" s="7" customFormat="1" x14ac:dyDescent="0.3">
      <c r="A580" t="s">
        <v>557</v>
      </c>
      <c r="B580"/>
      <c r="C580" t="s">
        <v>829</v>
      </c>
      <c r="D580" t="s">
        <v>36</v>
      </c>
      <c r="E580" t="s">
        <v>37</v>
      </c>
      <c r="F580" t="s">
        <v>38</v>
      </c>
      <c r="G580" t="s">
        <v>39</v>
      </c>
      <c r="H580">
        <v>2023</v>
      </c>
      <c r="I580" t="s">
        <v>271</v>
      </c>
      <c r="J580"/>
      <c r="K580"/>
      <c r="L580"/>
      <c r="M580">
        <v>2023</v>
      </c>
      <c r="N580"/>
      <c r="O580" t="s">
        <v>45</v>
      </c>
      <c r="P580"/>
      <c r="Q580" t="s">
        <v>1476</v>
      </c>
      <c r="R580" s="126" t="s">
        <v>861</v>
      </c>
      <c r="S580" s="126">
        <v>0</v>
      </c>
    </row>
    <row r="581" spans="1:19" s="7" customFormat="1" x14ac:dyDescent="0.3">
      <c r="A581" t="s">
        <v>557</v>
      </c>
      <c r="B581"/>
      <c r="C581" t="s">
        <v>829</v>
      </c>
      <c r="D581" t="s">
        <v>36</v>
      </c>
      <c r="E581" t="s">
        <v>37</v>
      </c>
      <c r="F581" t="s">
        <v>38</v>
      </c>
      <c r="G581" t="s">
        <v>39</v>
      </c>
      <c r="H581">
        <v>2023</v>
      </c>
      <c r="I581" t="s">
        <v>271</v>
      </c>
      <c r="J581"/>
      <c r="K581"/>
      <c r="L581"/>
      <c r="M581">
        <v>2023</v>
      </c>
      <c r="N581"/>
      <c r="O581" t="s">
        <v>45</v>
      </c>
      <c r="P581"/>
      <c r="Q581" t="s">
        <v>1476</v>
      </c>
      <c r="R581" s="126" t="s">
        <v>862</v>
      </c>
      <c r="S581" s="126">
        <v>3</v>
      </c>
    </row>
    <row r="582" spans="1:19" s="7" customFormat="1" x14ac:dyDescent="0.3">
      <c r="A582" t="s">
        <v>557</v>
      </c>
      <c r="B582"/>
      <c r="C582" t="s">
        <v>829</v>
      </c>
      <c r="D582" t="s">
        <v>36</v>
      </c>
      <c r="E582" t="s">
        <v>37</v>
      </c>
      <c r="F582" t="s">
        <v>38</v>
      </c>
      <c r="G582" t="s">
        <v>39</v>
      </c>
      <c r="H582">
        <v>2023</v>
      </c>
      <c r="I582" t="s">
        <v>271</v>
      </c>
      <c r="J582"/>
      <c r="K582"/>
      <c r="L582"/>
      <c r="M582">
        <v>2023</v>
      </c>
      <c r="N582"/>
      <c r="O582" t="s">
        <v>45</v>
      </c>
      <c r="P582"/>
      <c r="Q582" t="s">
        <v>1476</v>
      </c>
      <c r="R582" s="126" t="s">
        <v>863</v>
      </c>
      <c r="S582" s="126">
        <v>0</v>
      </c>
    </row>
    <row r="583" spans="1:19" s="7" customFormat="1" x14ac:dyDescent="0.3">
      <c r="A583" t="s">
        <v>557</v>
      </c>
      <c r="B583"/>
      <c r="C583" t="s">
        <v>829</v>
      </c>
      <c r="D583" t="s">
        <v>36</v>
      </c>
      <c r="E583" t="s">
        <v>37</v>
      </c>
      <c r="F583" t="s">
        <v>38</v>
      </c>
      <c r="G583" t="s">
        <v>39</v>
      </c>
      <c r="H583">
        <v>2023</v>
      </c>
      <c r="I583" t="s">
        <v>271</v>
      </c>
      <c r="J583"/>
      <c r="K583"/>
      <c r="L583"/>
      <c r="M583">
        <v>2023</v>
      </c>
      <c r="N583"/>
      <c r="O583" t="s">
        <v>45</v>
      </c>
      <c r="P583"/>
      <c r="Q583" t="s">
        <v>1476</v>
      </c>
      <c r="R583" s="126" t="s">
        <v>864</v>
      </c>
      <c r="S583" s="126">
        <v>4</v>
      </c>
    </row>
    <row r="584" spans="1:19" s="7" customFormat="1" x14ac:dyDescent="0.3">
      <c r="A584" t="s">
        <v>557</v>
      </c>
      <c r="B584"/>
      <c r="C584" t="s">
        <v>829</v>
      </c>
      <c r="D584" t="s">
        <v>36</v>
      </c>
      <c r="E584" t="s">
        <v>37</v>
      </c>
      <c r="F584" t="s">
        <v>38</v>
      </c>
      <c r="G584" t="s">
        <v>39</v>
      </c>
      <c r="H584">
        <v>2023</v>
      </c>
      <c r="I584" t="s">
        <v>271</v>
      </c>
      <c r="J584"/>
      <c r="K584"/>
      <c r="L584"/>
      <c r="M584">
        <v>2023</v>
      </c>
      <c r="N584"/>
      <c r="O584" t="s">
        <v>45</v>
      </c>
      <c r="P584"/>
      <c r="Q584" t="s">
        <v>1476</v>
      </c>
      <c r="R584" s="126" t="s">
        <v>865</v>
      </c>
      <c r="S584" s="126">
        <v>0</v>
      </c>
    </row>
    <row r="585" spans="1:19" s="7" customFormat="1" x14ac:dyDescent="0.3">
      <c r="A585" t="s">
        <v>557</v>
      </c>
      <c r="B585"/>
      <c r="C585" t="s">
        <v>829</v>
      </c>
      <c r="D585" t="s">
        <v>36</v>
      </c>
      <c r="E585" t="s">
        <v>37</v>
      </c>
      <c r="F585" t="s">
        <v>38</v>
      </c>
      <c r="G585" t="s">
        <v>39</v>
      </c>
      <c r="H585">
        <v>2023</v>
      </c>
      <c r="I585" t="s">
        <v>271</v>
      </c>
      <c r="J585"/>
      <c r="K585"/>
      <c r="L585"/>
      <c r="M585">
        <v>2023</v>
      </c>
      <c r="N585"/>
      <c r="O585" t="s">
        <v>45</v>
      </c>
      <c r="P585"/>
      <c r="Q585" t="s">
        <v>1476</v>
      </c>
      <c r="R585" s="126" t="s">
        <v>866</v>
      </c>
      <c r="S585" s="126">
        <v>4</v>
      </c>
    </row>
    <row r="586" spans="1:19" s="7" customFormat="1" x14ac:dyDescent="0.3">
      <c r="A586" t="s">
        <v>557</v>
      </c>
      <c r="B586"/>
      <c r="C586" t="s">
        <v>829</v>
      </c>
      <c r="D586" t="s">
        <v>36</v>
      </c>
      <c r="E586" t="s">
        <v>37</v>
      </c>
      <c r="F586" t="s">
        <v>38</v>
      </c>
      <c r="G586" t="s">
        <v>39</v>
      </c>
      <c r="H586">
        <v>2023</v>
      </c>
      <c r="I586" t="s">
        <v>271</v>
      </c>
      <c r="J586"/>
      <c r="K586"/>
      <c r="L586"/>
      <c r="M586">
        <v>2023</v>
      </c>
      <c r="N586"/>
      <c r="O586" t="s">
        <v>45</v>
      </c>
      <c r="P586"/>
      <c r="Q586" t="s">
        <v>1476</v>
      </c>
      <c r="R586" s="126" t="s">
        <v>867</v>
      </c>
      <c r="S586" s="126">
        <v>0</v>
      </c>
    </row>
    <row r="587" spans="1:19" s="7" customFormat="1" x14ac:dyDescent="0.3">
      <c r="A587" t="s">
        <v>557</v>
      </c>
      <c r="B587"/>
      <c r="C587" t="s">
        <v>829</v>
      </c>
      <c r="D587" t="s">
        <v>36</v>
      </c>
      <c r="E587" t="s">
        <v>37</v>
      </c>
      <c r="F587" t="s">
        <v>38</v>
      </c>
      <c r="G587" t="s">
        <v>39</v>
      </c>
      <c r="H587">
        <v>2023</v>
      </c>
      <c r="I587" t="s">
        <v>271</v>
      </c>
      <c r="J587"/>
      <c r="K587"/>
      <c r="L587"/>
      <c r="M587">
        <v>2023</v>
      </c>
      <c r="N587"/>
      <c r="O587" t="s">
        <v>45</v>
      </c>
      <c r="P587"/>
      <c r="Q587" t="s">
        <v>1476</v>
      </c>
      <c r="R587" s="126" t="s">
        <v>868</v>
      </c>
      <c r="S587" s="126">
        <v>4</v>
      </c>
    </row>
    <row r="588" spans="1:19" s="7" customFormat="1" x14ac:dyDescent="0.3">
      <c r="A588" t="s">
        <v>557</v>
      </c>
      <c r="B588"/>
      <c r="C588" t="s">
        <v>829</v>
      </c>
      <c r="D588" t="s">
        <v>36</v>
      </c>
      <c r="E588" t="s">
        <v>37</v>
      </c>
      <c r="F588" t="s">
        <v>38</v>
      </c>
      <c r="G588" t="s">
        <v>39</v>
      </c>
      <c r="H588">
        <v>2023</v>
      </c>
      <c r="I588" t="s">
        <v>271</v>
      </c>
      <c r="J588"/>
      <c r="K588"/>
      <c r="L588"/>
      <c r="M588">
        <v>2023</v>
      </c>
      <c r="N588"/>
      <c r="O588" t="s">
        <v>45</v>
      </c>
      <c r="P588"/>
      <c r="Q588" t="s">
        <v>1476</v>
      </c>
      <c r="R588" s="126" t="s">
        <v>869</v>
      </c>
      <c r="S588" s="126">
        <v>6</v>
      </c>
    </row>
    <row r="589" spans="1:19" s="7" customFormat="1" x14ac:dyDescent="0.3">
      <c r="A589" t="s">
        <v>557</v>
      </c>
      <c r="B589"/>
      <c r="C589" t="s">
        <v>829</v>
      </c>
      <c r="D589" t="s">
        <v>36</v>
      </c>
      <c r="E589" t="s">
        <v>37</v>
      </c>
      <c r="F589" t="s">
        <v>38</v>
      </c>
      <c r="G589" t="s">
        <v>39</v>
      </c>
      <c r="H589">
        <v>2023</v>
      </c>
      <c r="I589" t="s">
        <v>271</v>
      </c>
      <c r="J589"/>
      <c r="K589"/>
      <c r="L589"/>
      <c r="M589">
        <v>2023</v>
      </c>
      <c r="N589"/>
      <c r="O589" t="s">
        <v>45</v>
      </c>
      <c r="P589"/>
      <c r="Q589" t="s">
        <v>1476</v>
      </c>
      <c r="R589" s="126" t="s">
        <v>870</v>
      </c>
      <c r="S589" s="126">
        <v>0</v>
      </c>
    </row>
    <row r="590" spans="1:19" s="7" customFormat="1" x14ac:dyDescent="0.3">
      <c r="A590" t="s">
        <v>557</v>
      </c>
      <c r="B590"/>
      <c r="C590" t="s">
        <v>829</v>
      </c>
      <c r="D590" t="s">
        <v>36</v>
      </c>
      <c r="E590" t="s">
        <v>37</v>
      </c>
      <c r="F590" t="s">
        <v>38</v>
      </c>
      <c r="G590" t="s">
        <v>39</v>
      </c>
      <c r="H590">
        <v>2023</v>
      </c>
      <c r="I590" t="s">
        <v>271</v>
      </c>
      <c r="J590"/>
      <c r="K590"/>
      <c r="L590"/>
      <c r="M590">
        <v>2023</v>
      </c>
      <c r="N590"/>
      <c r="O590" t="s">
        <v>45</v>
      </c>
      <c r="P590"/>
      <c r="Q590" t="s">
        <v>1476</v>
      </c>
      <c r="R590" s="126" t="s">
        <v>871</v>
      </c>
      <c r="S590" s="126">
        <v>0</v>
      </c>
    </row>
    <row r="591" spans="1:19" s="7" customFormat="1" x14ac:dyDescent="0.3">
      <c r="A591" t="s">
        <v>557</v>
      </c>
      <c r="B591"/>
      <c r="C591" t="s">
        <v>829</v>
      </c>
      <c r="D591" t="s">
        <v>36</v>
      </c>
      <c r="E591" t="s">
        <v>37</v>
      </c>
      <c r="F591" t="s">
        <v>38</v>
      </c>
      <c r="G591" t="s">
        <v>39</v>
      </c>
      <c r="H591">
        <v>2023</v>
      </c>
      <c r="I591" t="s">
        <v>271</v>
      </c>
      <c r="J591"/>
      <c r="K591"/>
      <c r="L591"/>
      <c r="M591">
        <v>2023</v>
      </c>
      <c r="N591"/>
      <c r="O591" t="s">
        <v>45</v>
      </c>
      <c r="P591"/>
      <c r="Q591" t="s">
        <v>1477</v>
      </c>
      <c r="R591" s="107" t="s">
        <v>872</v>
      </c>
      <c r="S591" s="106">
        <v>122</v>
      </c>
    </row>
    <row r="592" spans="1:19" s="7" customFormat="1" x14ac:dyDescent="0.3">
      <c r="A592" t="s">
        <v>557</v>
      </c>
      <c r="B592"/>
      <c r="C592" t="s">
        <v>829</v>
      </c>
      <c r="D592" t="s">
        <v>36</v>
      </c>
      <c r="E592" t="s">
        <v>37</v>
      </c>
      <c r="F592" t="s">
        <v>38</v>
      </c>
      <c r="G592" t="s">
        <v>39</v>
      </c>
      <c r="H592">
        <v>2023</v>
      </c>
      <c r="I592" t="s">
        <v>271</v>
      </c>
      <c r="J592"/>
      <c r="K592"/>
      <c r="L592"/>
      <c r="M592">
        <v>2023</v>
      </c>
      <c r="N592"/>
      <c r="O592" t="s">
        <v>45</v>
      </c>
      <c r="P592"/>
      <c r="Q592"/>
      <c r="R592" s="127" t="s">
        <v>873</v>
      </c>
      <c r="S592" s="127">
        <f>S545+S549+S555+S577</f>
        <v>66</v>
      </c>
    </row>
    <row r="593" spans="1:19" s="7" customFormat="1" x14ac:dyDescent="0.3">
      <c r="A593" t="s">
        <v>557</v>
      </c>
      <c r="B593"/>
      <c r="C593" t="s">
        <v>829</v>
      </c>
      <c r="D593" t="s">
        <v>36</v>
      </c>
      <c r="E593" t="s">
        <v>37</v>
      </c>
      <c r="F593" t="s">
        <v>38</v>
      </c>
      <c r="G593" t="s">
        <v>39</v>
      </c>
      <c r="H593">
        <v>2023</v>
      </c>
      <c r="I593" t="s">
        <v>271</v>
      </c>
      <c r="J593"/>
      <c r="K593"/>
      <c r="L593"/>
      <c r="M593">
        <v>2023</v>
      </c>
      <c r="N593"/>
      <c r="O593" t="s">
        <v>45</v>
      </c>
      <c r="P593"/>
      <c r="Q593"/>
      <c r="R593" s="68" t="s">
        <v>874</v>
      </c>
      <c r="S593" s="127">
        <f>S546+S550+S556+S578</f>
        <v>148</v>
      </c>
    </row>
    <row r="594" spans="1:19" s="7" customFormat="1" x14ac:dyDescent="0.3">
      <c r="A594" t="s">
        <v>557</v>
      </c>
      <c r="B594"/>
      <c r="C594" t="s">
        <v>877</v>
      </c>
      <c r="D594" t="s">
        <v>36</v>
      </c>
      <c r="E594" t="s">
        <v>37</v>
      </c>
      <c r="F594" t="s">
        <v>38</v>
      </c>
      <c r="G594" t="s">
        <v>39</v>
      </c>
      <c r="H594">
        <v>2023</v>
      </c>
      <c r="I594" t="s">
        <v>271</v>
      </c>
      <c r="J594"/>
      <c r="K594"/>
      <c r="L594"/>
      <c r="M594">
        <v>2023</v>
      </c>
      <c r="N594"/>
      <c r="O594" t="s">
        <v>45</v>
      </c>
      <c r="P594"/>
      <c r="Q594" t="s">
        <v>1478</v>
      </c>
      <c r="R594" s="126" t="s">
        <v>878</v>
      </c>
      <c r="S594" s="126">
        <v>1</v>
      </c>
    </row>
    <row r="595" spans="1:19" s="7" customFormat="1" x14ac:dyDescent="0.3">
      <c r="A595" t="s">
        <v>557</v>
      </c>
      <c r="B595"/>
      <c r="C595" t="s">
        <v>877</v>
      </c>
      <c r="D595" t="s">
        <v>36</v>
      </c>
      <c r="E595" t="s">
        <v>37</v>
      </c>
      <c r="F595" t="s">
        <v>38</v>
      </c>
      <c r="G595" t="s">
        <v>39</v>
      </c>
      <c r="H595">
        <v>2023</v>
      </c>
      <c r="I595" t="s">
        <v>271</v>
      </c>
      <c r="J595"/>
      <c r="K595"/>
      <c r="L595"/>
      <c r="M595">
        <v>2023</v>
      </c>
      <c r="N595"/>
      <c r="O595" t="s">
        <v>45</v>
      </c>
      <c r="P595"/>
      <c r="Q595" t="s">
        <v>1478</v>
      </c>
      <c r="R595" s="126" t="s">
        <v>879</v>
      </c>
      <c r="S595" s="126">
        <v>6</v>
      </c>
    </row>
    <row r="596" spans="1:19" s="7" customFormat="1" x14ac:dyDescent="0.3">
      <c r="A596" t="s">
        <v>557</v>
      </c>
      <c r="B596"/>
      <c r="C596" t="s">
        <v>877</v>
      </c>
      <c r="D596" t="s">
        <v>36</v>
      </c>
      <c r="E596" t="s">
        <v>37</v>
      </c>
      <c r="F596" t="s">
        <v>38</v>
      </c>
      <c r="G596" t="s">
        <v>39</v>
      </c>
      <c r="H596">
        <v>2023</v>
      </c>
      <c r="I596" t="s">
        <v>271</v>
      </c>
      <c r="J596"/>
      <c r="K596"/>
      <c r="L596"/>
      <c r="M596">
        <v>2023</v>
      </c>
      <c r="N596"/>
      <c r="O596" t="s">
        <v>45</v>
      </c>
      <c r="P596"/>
      <c r="Q596" t="s">
        <v>1478</v>
      </c>
      <c r="R596" s="126" t="s">
        <v>880</v>
      </c>
      <c r="S596" s="126">
        <v>117</v>
      </c>
    </row>
    <row r="597" spans="1:19" s="7" customFormat="1" x14ac:dyDescent="0.3">
      <c r="A597" t="s">
        <v>557</v>
      </c>
      <c r="B597"/>
      <c r="C597" t="s">
        <v>877</v>
      </c>
      <c r="D597" t="s">
        <v>36</v>
      </c>
      <c r="E597" t="s">
        <v>37</v>
      </c>
      <c r="F597" t="s">
        <v>38</v>
      </c>
      <c r="G597" t="s">
        <v>39</v>
      </c>
      <c r="H597">
        <v>2023</v>
      </c>
      <c r="I597" t="s">
        <v>271</v>
      </c>
      <c r="J597"/>
      <c r="K597"/>
      <c r="L597"/>
      <c r="M597">
        <v>2023</v>
      </c>
      <c r="N597"/>
      <c r="O597" t="s">
        <v>45</v>
      </c>
      <c r="P597"/>
      <c r="Q597" t="s">
        <v>1478</v>
      </c>
      <c r="R597" s="126" t="s">
        <v>881</v>
      </c>
      <c r="S597" s="126">
        <v>25</v>
      </c>
    </row>
    <row r="598" spans="1:19" s="7" customFormat="1" x14ac:dyDescent="0.3">
      <c r="A598" t="s">
        <v>557</v>
      </c>
      <c r="B598"/>
      <c r="C598" t="s">
        <v>877</v>
      </c>
      <c r="D598" t="s">
        <v>36</v>
      </c>
      <c r="E598" t="s">
        <v>37</v>
      </c>
      <c r="F598" t="s">
        <v>38</v>
      </c>
      <c r="G598" t="s">
        <v>39</v>
      </c>
      <c r="H598">
        <v>2023</v>
      </c>
      <c r="I598" t="s">
        <v>271</v>
      </c>
      <c r="J598"/>
      <c r="K598"/>
      <c r="L598"/>
      <c r="M598">
        <v>2023</v>
      </c>
      <c r="N598"/>
      <c r="O598" t="s">
        <v>45</v>
      </c>
      <c r="P598"/>
      <c r="Q598" t="s">
        <v>1478</v>
      </c>
      <c r="R598" s="126" t="s">
        <v>882</v>
      </c>
      <c r="S598" s="126">
        <v>6</v>
      </c>
    </row>
    <row r="599" spans="1:19" s="7" customFormat="1" x14ac:dyDescent="0.3">
      <c r="A599" t="s">
        <v>557</v>
      </c>
      <c r="B599"/>
      <c r="C599" t="s">
        <v>877</v>
      </c>
      <c r="D599" t="s">
        <v>36</v>
      </c>
      <c r="E599" t="s">
        <v>37</v>
      </c>
      <c r="F599" t="s">
        <v>38</v>
      </c>
      <c r="G599" t="s">
        <v>39</v>
      </c>
      <c r="H599">
        <v>2023</v>
      </c>
      <c r="I599" t="s">
        <v>271</v>
      </c>
      <c r="J599"/>
      <c r="K599"/>
      <c r="L599"/>
      <c r="M599">
        <v>2023</v>
      </c>
      <c r="N599"/>
      <c r="O599" t="s">
        <v>45</v>
      </c>
      <c r="P599"/>
      <c r="Q599" t="s">
        <v>1478</v>
      </c>
      <c r="R599" s="126" t="s">
        <v>883</v>
      </c>
      <c r="S599" s="126">
        <v>131</v>
      </c>
    </row>
    <row r="600" spans="1:19" s="7" customFormat="1" x14ac:dyDescent="0.3">
      <c r="A600" t="s">
        <v>557</v>
      </c>
      <c r="B600"/>
      <c r="C600" t="s">
        <v>877</v>
      </c>
      <c r="D600" t="s">
        <v>36</v>
      </c>
      <c r="E600" t="s">
        <v>37</v>
      </c>
      <c r="F600" t="s">
        <v>38</v>
      </c>
      <c r="G600" t="s">
        <v>39</v>
      </c>
      <c r="H600">
        <v>2023</v>
      </c>
      <c r="I600" t="s">
        <v>271</v>
      </c>
      <c r="J600"/>
      <c r="K600"/>
      <c r="L600"/>
      <c r="M600">
        <v>2023</v>
      </c>
      <c r="N600"/>
      <c r="O600" t="s">
        <v>45</v>
      </c>
      <c r="P600"/>
      <c r="Q600" t="s">
        <v>1478</v>
      </c>
      <c r="R600" s="126" t="s">
        <v>884</v>
      </c>
      <c r="S600" s="126">
        <v>68</v>
      </c>
    </row>
    <row r="601" spans="1:19" s="7" customFormat="1" x14ac:dyDescent="0.3">
      <c r="A601" t="s">
        <v>557</v>
      </c>
      <c r="B601"/>
      <c r="C601" t="s">
        <v>877</v>
      </c>
      <c r="D601" t="s">
        <v>36</v>
      </c>
      <c r="E601" t="s">
        <v>37</v>
      </c>
      <c r="F601" t="s">
        <v>38</v>
      </c>
      <c r="G601" t="s">
        <v>39</v>
      </c>
      <c r="H601">
        <v>2023</v>
      </c>
      <c r="I601" t="s">
        <v>271</v>
      </c>
      <c r="J601"/>
      <c r="K601"/>
      <c r="L601"/>
      <c r="M601">
        <v>2023</v>
      </c>
      <c r="N601"/>
      <c r="O601" t="s">
        <v>45</v>
      </c>
      <c r="P601"/>
      <c r="Q601" t="s">
        <v>1478</v>
      </c>
      <c r="R601" s="126" t="s">
        <v>885</v>
      </c>
      <c r="S601" s="126">
        <v>653</v>
      </c>
    </row>
    <row r="602" spans="1:19" s="7" customFormat="1" x14ac:dyDescent="0.3">
      <c r="A602" t="s">
        <v>557</v>
      </c>
      <c r="B602"/>
      <c r="C602" t="s">
        <v>877</v>
      </c>
      <c r="D602" t="s">
        <v>36</v>
      </c>
      <c r="E602" t="s">
        <v>37</v>
      </c>
      <c r="F602" t="s">
        <v>38</v>
      </c>
      <c r="G602" t="s">
        <v>39</v>
      </c>
      <c r="H602">
        <v>2023</v>
      </c>
      <c r="I602" t="s">
        <v>271</v>
      </c>
      <c r="J602"/>
      <c r="K602"/>
      <c r="L602"/>
      <c r="M602">
        <v>2023</v>
      </c>
      <c r="N602"/>
      <c r="O602" t="s">
        <v>45</v>
      </c>
      <c r="P602"/>
      <c r="Q602"/>
      <c r="R602" s="68" t="s">
        <v>886</v>
      </c>
      <c r="S602" s="127">
        <f>S594+S595+S596+S597+S598+S600+S601</f>
        <v>876</v>
      </c>
    </row>
    <row r="603" spans="1:19" s="7" customFormat="1" x14ac:dyDescent="0.3">
      <c r="A603" t="s">
        <v>557</v>
      </c>
      <c r="B603"/>
      <c r="C603" t="s">
        <v>877</v>
      </c>
      <c r="D603" t="s">
        <v>36</v>
      </c>
      <c r="E603" t="s">
        <v>37</v>
      </c>
      <c r="F603" t="s">
        <v>38</v>
      </c>
      <c r="G603" t="s">
        <v>39</v>
      </c>
      <c r="H603">
        <v>2023</v>
      </c>
      <c r="I603" t="s">
        <v>271</v>
      </c>
      <c r="J603"/>
      <c r="K603"/>
      <c r="L603"/>
      <c r="M603">
        <v>2023</v>
      </c>
      <c r="N603"/>
      <c r="O603" t="s">
        <v>45</v>
      </c>
      <c r="P603"/>
      <c r="Q603"/>
      <c r="R603" s="68" t="s">
        <v>887</v>
      </c>
      <c r="S603" s="127">
        <f>S599</f>
        <v>131</v>
      </c>
    </row>
    <row r="604" spans="1:19" s="7" customFormat="1" x14ac:dyDescent="0.3">
      <c r="A604" t="s">
        <v>557</v>
      </c>
      <c r="B604"/>
      <c r="C604" t="s">
        <v>877</v>
      </c>
      <c r="D604" t="s">
        <v>36</v>
      </c>
      <c r="E604" t="s">
        <v>37</v>
      </c>
      <c r="F604" t="s">
        <v>38</v>
      </c>
      <c r="G604" t="s">
        <v>39</v>
      </c>
      <c r="H604">
        <v>2023</v>
      </c>
      <c r="I604" t="s">
        <v>271</v>
      </c>
      <c r="J604"/>
      <c r="K604"/>
      <c r="L604"/>
      <c r="M604">
        <v>2023</v>
      </c>
      <c r="N604"/>
      <c r="O604" t="s">
        <v>45</v>
      </c>
      <c r="P604"/>
      <c r="Q604" t="s">
        <v>1479</v>
      </c>
      <c r="R604" s="7" t="s">
        <v>888</v>
      </c>
      <c r="S604" s="126">
        <v>954</v>
      </c>
    </row>
    <row r="605" spans="1:19" s="7" customFormat="1" x14ac:dyDescent="0.3">
      <c r="A605" t="s">
        <v>93</v>
      </c>
      <c r="B605"/>
      <c r="C605" t="s">
        <v>891</v>
      </c>
      <c r="D605" t="s">
        <v>36</v>
      </c>
      <c r="E605" t="s">
        <v>37</v>
      </c>
      <c r="F605" t="s">
        <v>38</v>
      </c>
      <c r="G605" t="s">
        <v>39</v>
      </c>
      <c r="H605">
        <v>2023</v>
      </c>
      <c r="I605" t="s">
        <v>271</v>
      </c>
      <c r="J605"/>
      <c r="K605"/>
      <c r="L605"/>
      <c r="M605">
        <v>2023</v>
      </c>
      <c r="N605"/>
      <c r="O605" t="s">
        <v>45</v>
      </c>
      <c r="P605"/>
      <c r="Q605" t="s">
        <v>1480</v>
      </c>
      <c r="R605" s="126" t="s">
        <v>892</v>
      </c>
      <c r="S605" s="126">
        <v>0</v>
      </c>
    </row>
    <row r="606" spans="1:19" s="7" customFormat="1" x14ac:dyDescent="0.3">
      <c r="A606" t="s">
        <v>93</v>
      </c>
      <c r="B606"/>
      <c r="C606" t="s">
        <v>891</v>
      </c>
      <c r="D606" t="s">
        <v>36</v>
      </c>
      <c r="E606" t="s">
        <v>37</v>
      </c>
      <c r="F606" t="s">
        <v>38</v>
      </c>
      <c r="G606" t="s">
        <v>39</v>
      </c>
      <c r="H606">
        <v>2023</v>
      </c>
      <c r="I606" t="s">
        <v>271</v>
      </c>
      <c r="J606"/>
      <c r="K606"/>
      <c r="L606"/>
      <c r="M606">
        <v>2023</v>
      </c>
      <c r="N606"/>
      <c r="O606" t="s">
        <v>45</v>
      </c>
      <c r="P606"/>
      <c r="Q606" t="s">
        <v>1480</v>
      </c>
      <c r="R606" s="126" t="s">
        <v>893</v>
      </c>
      <c r="S606" s="126">
        <v>0</v>
      </c>
    </row>
    <row r="607" spans="1:19" s="7" customFormat="1" x14ac:dyDescent="0.3">
      <c r="A607" t="s">
        <v>93</v>
      </c>
      <c r="B607"/>
      <c r="C607" t="s">
        <v>891</v>
      </c>
      <c r="D607" t="s">
        <v>36</v>
      </c>
      <c r="E607" t="s">
        <v>37</v>
      </c>
      <c r="F607" t="s">
        <v>38</v>
      </c>
      <c r="G607" t="s">
        <v>39</v>
      </c>
      <c r="H607">
        <v>2023</v>
      </c>
      <c r="I607" t="s">
        <v>271</v>
      </c>
      <c r="J607"/>
      <c r="K607"/>
      <c r="L607"/>
      <c r="M607">
        <v>2023</v>
      </c>
      <c r="N607"/>
      <c r="O607" t="s">
        <v>45</v>
      </c>
      <c r="P607"/>
      <c r="Q607" t="s">
        <v>1480</v>
      </c>
      <c r="R607" s="126" t="s">
        <v>894</v>
      </c>
      <c r="S607" s="126">
        <v>7985</v>
      </c>
    </row>
    <row r="608" spans="1:19" s="7" customFormat="1" x14ac:dyDescent="0.3">
      <c r="A608" t="s">
        <v>93</v>
      </c>
      <c r="B608"/>
      <c r="C608" t="s">
        <v>891</v>
      </c>
      <c r="D608" t="s">
        <v>36</v>
      </c>
      <c r="E608" t="s">
        <v>37</v>
      </c>
      <c r="F608" t="s">
        <v>38</v>
      </c>
      <c r="G608" t="s">
        <v>39</v>
      </c>
      <c r="H608">
        <v>2023</v>
      </c>
      <c r="I608" t="s">
        <v>271</v>
      </c>
      <c r="J608"/>
      <c r="K608"/>
      <c r="L608"/>
      <c r="M608">
        <v>2023</v>
      </c>
      <c r="N608"/>
      <c r="O608" t="s">
        <v>45</v>
      </c>
      <c r="P608"/>
      <c r="Q608" t="s">
        <v>1480</v>
      </c>
      <c r="R608" s="126" t="s">
        <v>895</v>
      </c>
      <c r="S608" s="126">
        <v>8714</v>
      </c>
    </row>
    <row r="609" spans="1:19" s="7" customFormat="1" x14ac:dyDescent="0.3">
      <c r="A609" t="s">
        <v>93</v>
      </c>
      <c r="B609"/>
      <c r="C609" t="s">
        <v>891</v>
      </c>
      <c r="D609" t="s">
        <v>36</v>
      </c>
      <c r="E609" t="s">
        <v>37</v>
      </c>
      <c r="F609" t="s">
        <v>38</v>
      </c>
      <c r="G609" t="s">
        <v>39</v>
      </c>
      <c r="H609">
        <v>2023</v>
      </c>
      <c r="I609" t="s">
        <v>271</v>
      </c>
      <c r="J609"/>
      <c r="K609"/>
      <c r="L609"/>
      <c r="M609">
        <v>2023</v>
      </c>
      <c r="N609"/>
      <c r="O609" t="s">
        <v>45</v>
      </c>
      <c r="P609"/>
      <c r="Q609" t="s">
        <v>1480</v>
      </c>
      <c r="R609" s="126" t="s">
        <v>896</v>
      </c>
      <c r="S609" s="126">
        <v>21140</v>
      </c>
    </row>
    <row r="610" spans="1:19" s="7" customFormat="1" x14ac:dyDescent="0.3">
      <c r="A610" t="s">
        <v>93</v>
      </c>
      <c r="B610"/>
      <c r="C610" t="s">
        <v>891</v>
      </c>
      <c r="D610" t="s">
        <v>36</v>
      </c>
      <c r="E610" t="s">
        <v>37</v>
      </c>
      <c r="F610" t="s">
        <v>38</v>
      </c>
      <c r="G610" t="s">
        <v>39</v>
      </c>
      <c r="H610">
        <v>2023</v>
      </c>
      <c r="I610" t="s">
        <v>271</v>
      </c>
      <c r="J610"/>
      <c r="K610"/>
      <c r="L610"/>
      <c r="M610">
        <v>2023</v>
      </c>
      <c r="N610"/>
      <c r="O610" t="s">
        <v>45</v>
      </c>
      <c r="P610"/>
      <c r="Q610" t="s">
        <v>1480</v>
      </c>
      <c r="R610" s="126" t="s">
        <v>897</v>
      </c>
      <c r="S610" s="126">
        <v>20336</v>
      </c>
    </row>
    <row r="611" spans="1:19" s="7" customFormat="1" x14ac:dyDescent="0.3">
      <c r="A611" t="s">
        <v>93</v>
      </c>
      <c r="B611"/>
      <c r="C611" t="s">
        <v>891</v>
      </c>
      <c r="D611" t="s">
        <v>36</v>
      </c>
      <c r="E611" t="s">
        <v>37</v>
      </c>
      <c r="F611" t="s">
        <v>38</v>
      </c>
      <c r="G611" t="s">
        <v>39</v>
      </c>
      <c r="H611">
        <v>2023</v>
      </c>
      <c r="I611" t="s">
        <v>271</v>
      </c>
      <c r="J611"/>
      <c r="K611"/>
      <c r="L611"/>
      <c r="M611">
        <v>2023</v>
      </c>
      <c r="N611"/>
      <c r="O611" t="s">
        <v>45</v>
      </c>
      <c r="P611"/>
      <c r="Q611" t="s">
        <v>1480</v>
      </c>
      <c r="R611" s="126" t="s">
        <v>898</v>
      </c>
      <c r="S611" s="126">
        <v>24950</v>
      </c>
    </row>
    <row r="612" spans="1:19" s="7" customFormat="1" x14ac:dyDescent="0.3">
      <c r="A612" t="s">
        <v>93</v>
      </c>
      <c r="B612"/>
      <c r="C612" t="s">
        <v>891</v>
      </c>
      <c r="D612" t="s">
        <v>36</v>
      </c>
      <c r="E612" t="s">
        <v>37</v>
      </c>
      <c r="F612" t="s">
        <v>38</v>
      </c>
      <c r="G612" t="s">
        <v>39</v>
      </c>
      <c r="H612">
        <v>2023</v>
      </c>
      <c r="I612" t="s">
        <v>271</v>
      </c>
      <c r="J612"/>
      <c r="K612"/>
      <c r="L612"/>
      <c r="M612">
        <v>2023</v>
      </c>
      <c r="N612"/>
      <c r="O612" t="s">
        <v>45</v>
      </c>
      <c r="P612"/>
      <c r="Q612" t="s">
        <v>1480</v>
      </c>
      <c r="R612" s="126" t="s">
        <v>899</v>
      </c>
      <c r="S612" s="126">
        <v>25100</v>
      </c>
    </row>
    <row r="613" spans="1:19" s="7" customFormat="1" x14ac:dyDescent="0.3">
      <c r="A613" t="s">
        <v>93</v>
      </c>
      <c r="B613"/>
      <c r="C613" t="s">
        <v>891</v>
      </c>
      <c r="D613" t="s">
        <v>36</v>
      </c>
      <c r="E613" t="s">
        <v>37</v>
      </c>
      <c r="F613" t="s">
        <v>38</v>
      </c>
      <c r="G613" t="s">
        <v>39</v>
      </c>
      <c r="H613">
        <v>2023</v>
      </c>
      <c r="I613" t="s">
        <v>271</v>
      </c>
      <c r="J613"/>
      <c r="K613"/>
      <c r="L613"/>
      <c r="M613">
        <v>2023</v>
      </c>
      <c r="N613"/>
      <c r="O613" t="s">
        <v>45</v>
      </c>
      <c r="P613"/>
      <c r="Q613" t="s">
        <v>1481</v>
      </c>
      <c r="R613" s="126" t="s">
        <v>900</v>
      </c>
      <c r="S613" s="126">
        <v>7586</v>
      </c>
    </row>
    <row r="614" spans="1:19" s="7" customFormat="1" x14ac:dyDescent="0.3">
      <c r="A614" t="s">
        <v>93</v>
      </c>
      <c r="B614"/>
      <c r="C614" t="s">
        <v>891</v>
      </c>
      <c r="D614" t="s">
        <v>36</v>
      </c>
      <c r="E614" t="s">
        <v>37</v>
      </c>
      <c r="F614" t="s">
        <v>38</v>
      </c>
      <c r="G614" t="s">
        <v>39</v>
      </c>
      <c r="H614">
        <v>2023</v>
      </c>
      <c r="I614" t="s">
        <v>271</v>
      </c>
      <c r="J614"/>
      <c r="K614"/>
      <c r="L614"/>
      <c r="M614">
        <v>2023</v>
      </c>
      <c r="N614"/>
      <c r="O614" t="s">
        <v>45</v>
      </c>
      <c r="P614"/>
      <c r="Q614" t="s">
        <v>1482</v>
      </c>
      <c r="R614" s="126" t="s">
        <v>901</v>
      </c>
      <c r="S614" s="126">
        <v>8040</v>
      </c>
    </row>
    <row r="615" spans="1:19" s="7" customFormat="1" x14ac:dyDescent="0.3">
      <c r="A615" t="s">
        <v>93</v>
      </c>
      <c r="B615"/>
      <c r="C615" t="s">
        <v>891</v>
      </c>
      <c r="D615" t="s">
        <v>36</v>
      </c>
      <c r="E615" t="s">
        <v>37</v>
      </c>
      <c r="F615" t="s">
        <v>38</v>
      </c>
      <c r="G615" t="s">
        <v>39</v>
      </c>
      <c r="H615">
        <v>2023</v>
      </c>
      <c r="I615" t="s">
        <v>271</v>
      </c>
      <c r="J615"/>
      <c r="K615"/>
      <c r="L615"/>
      <c r="M615">
        <v>2023</v>
      </c>
      <c r="N615"/>
      <c r="O615" t="s">
        <v>45</v>
      </c>
      <c r="P615"/>
      <c r="Q615" t="s">
        <v>1482</v>
      </c>
      <c r="R615" s="126" t="s">
        <v>902</v>
      </c>
      <c r="S615" s="126">
        <v>0</v>
      </c>
    </row>
    <row r="616" spans="1:19" s="7" customFormat="1" x14ac:dyDescent="0.3">
      <c r="A616" t="s">
        <v>93</v>
      </c>
      <c r="B616"/>
      <c r="C616" t="s">
        <v>891</v>
      </c>
      <c r="D616" t="s">
        <v>36</v>
      </c>
      <c r="E616" t="s">
        <v>37</v>
      </c>
      <c r="F616" t="s">
        <v>38</v>
      </c>
      <c r="G616" t="s">
        <v>39</v>
      </c>
      <c r="H616">
        <v>2023</v>
      </c>
      <c r="I616" t="s">
        <v>271</v>
      </c>
      <c r="J616"/>
      <c r="K616"/>
      <c r="L616"/>
      <c r="M616">
        <v>2023</v>
      </c>
      <c r="N616"/>
      <c r="O616" t="s">
        <v>45</v>
      </c>
      <c r="P616"/>
      <c r="Q616" t="s">
        <v>1482</v>
      </c>
      <c r="R616" s="126" t="s">
        <v>903</v>
      </c>
      <c r="S616" s="126">
        <v>0</v>
      </c>
    </row>
    <row r="617" spans="1:19" s="7" customFormat="1" x14ac:dyDescent="0.3">
      <c r="A617" t="s">
        <v>93</v>
      </c>
      <c r="B617"/>
      <c r="C617" t="s">
        <v>891</v>
      </c>
      <c r="D617" t="s">
        <v>36</v>
      </c>
      <c r="E617" t="s">
        <v>37</v>
      </c>
      <c r="F617" t="s">
        <v>38</v>
      </c>
      <c r="G617" t="s">
        <v>39</v>
      </c>
      <c r="H617">
        <v>2023</v>
      </c>
      <c r="I617" t="s">
        <v>271</v>
      </c>
      <c r="J617"/>
      <c r="K617"/>
      <c r="L617"/>
      <c r="M617">
        <v>2023</v>
      </c>
      <c r="N617"/>
      <c r="O617" t="s">
        <v>45</v>
      </c>
      <c r="P617"/>
      <c r="Q617" t="s">
        <v>1483</v>
      </c>
      <c r="R617" s="126" t="s">
        <v>904</v>
      </c>
      <c r="S617" s="126">
        <v>9663</v>
      </c>
    </row>
    <row r="618" spans="1:19" s="7" customFormat="1" x14ac:dyDescent="0.3">
      <c r="A618" t="s">
        <v>93</v>
      </c>
      <c r="B618"/>
      <c r="C618" t="s">
        <v>891</v>
      </c>
      <c r="D618" t="s">
        <v>36</v>
      </c>
      <c r="E618" t="s">
        <v>37</v>
      </c>
      <c r="F618" t="s">
        <v>38</v>
      </c>
      <c r="G618" t="s">
        <v>39</v>
      </c>
      <c r="H618">
        <v>2023</v>
      </c>
      <c r="I618" t="s">
        <v>271</v>
      </c>
      <c r="J618"/>
      <c r="K618"/>
      <c r="L618"/>
      <c r="M618">
        <v>2023</v>
      </c>
      <c r="N618"/>
      <c r="O618" t="s">
        <v>45</v>
      </c>
      <c r="P618"/>
      <c r="Q618" t="s">
        <v>1483</v>
      </c>
      <c r="R618" s="126" t="s">
        <v>905</v>
      </c>
      <c r="S618" s="126">
        <v>9721</v>
      </c>
    </row>
    <row r="619" spans="1:19" s="7" customFormat="1" x14ac:dyDescent="0.3">
      <c r="A619" t="s">
        <v>93</v>
      </c>
      <c r="B619"/>
      <c r="C619" t="s">
        <v>891</v>
      </c>
      <c r="D619" t="s">
        <v>36</v>
      </c>
      <c r="E619" t="s">
        <v>37</v>
      </c>
      <c r="F619" t="s">
        <v>38</v>
      </c>
      <c r="G619" t="s">
        <v>39</v>
      </c>
      <c r="H619">
        <v>2023</v>
      </c>
      <c r="I619" t="s">
        <v>271</v>
      </c>
      <c r="J619"/>
      <c r="K619"/>
      <c r="L619"/>
      <c r="M619">
        <v>2023</v>
      </c>
      <c r="N619"/>
      <c r="O619" t="s">
        <v>45</v>
      </c>
      <c r="P619"/>
      <c r="Q619" t="s">
        <v>1483</v>
      </c>
      <c r="R619" s="126" t="s">
        <v>906</v>
      </c>
      <c r="S619" s="126">
        <v>47705</v>
      </c>
    </row>
    <row r="620" spans="1:19" s="7" customFormat="1" x14ac:dyDescent="0.3">
      <c r="A620" t="s">
        <v>93</v>
      </c>
      <c r="B620"/>
      <c r="C620" t="s">
        <v>891</v>
      </c>
      <c r="D620" t="s">
        <v>36</v>
      </c>
      <c r="E620" t="s">
        <v>37</v>
      </c>
      <c r="F620" t="s">
        <v>38</v>
      </c>
      <c r="G620" t="s">
        <v>39</v>
      </c>
      <c r="H620">
        <v>2023</v>
      </c>
      <c r="I620" t="s">
        <v>271</v>
      </c>
      <c r="J620"/>
      <c r="K620"/>
      <c r="L620"/>
      <c r="M620">
        <v>2023</v>
      </c>
      <c r="N620"/>
      <c r="O620" t="s">
        <v>45</v>
      </c>
      <c r="P620"/>
      <c r="Q620" t="s">
        <v>1483</v>
      </c>
      <c r="R620" s="126" t="s">
        <v>907</v>
      </c>
      <c r="S620" s="126">
        <v>51103</v>
      </c>
    </row>
    <row r="621" spans="1:19" s="7" customFormat="1" x14ac:dyDescent="0.3">
      <c r="A621" t="s">
        <v>93</v>
      </c>
      <c r="B621"/>
      <c r="C621" t="s">
        <v>891</v>
      </c>
      <c r="D621" t="s">
        <v>36</v>
      </c>
      <c r="E621" t="s">
        <v>37</v>
      </c>
      <c r="F621" t="s">
        <v>38</v>
      </c>
      <c r="G621" t="s">
        <v>39</v>
      </c>
      <c r="H621">
        <v>2023</v>
      </c>
      <c r="I621" t="s">
        <v>271</v>
      </c>
      <c r="J621"/>
      <c r="K621"/>
      <c r="L621"/>
      <c r="M621">
        <v>2023</v>
      </c>
      <c r="N621"/>
      <c r="O621" t="s">
        <v>45</v>
      </c>
      <c r="P621"/>
      <c r="Q621" t="s">
        <v>1484</v>
      </c>
      <c r="R621" s="127" t="s">
        <v>908</v>
      </c>
      <c r="S621" s="127">
        <f>S607+S605</f>
        <v>7985</v>
      </c>
    </row>
    <row r="622" spans="1:19" s="7" customFormat="1" x14ac:dyDescent="0.3">
      <c r="A622" t="s">
        <v>93</v>
      </c>
      <c r="B622"/>
      <c r="C622" t="s">
        <v>891</v>
      </c>
      <c r="D622" t="s">
        <v>36</v>
      </c>
      <c r="E622" t="s">
        <v>37</v>
      </c>
      <c r="F622" t="s">
        <v>38</v>
      </c>
      <c r="G622" t="s">
        <v>39</v>
      </c>
      <c r="H622">
        <v>2023</v>
      </c>
      <c r="I622" t="s">
        <v>271</v>
      </c>
      <c r="J622"/>
      <c r="K622"/>
      <c r="L622"/>
      <c r="M622">
        <v>2023</v>
      </c>
      <c r="N622"/>
      <c r="O622" t="s">
        <v>45</v>
      </c>
      <c r="P622"/>
      <c r="Q622" t="s">
        <v>1484</v>
      </c>
      <c r="R622" s="127" t="s">
        <v>909</v>
      </c>
      <c r="S622" s="127">
        <f>S606+S608</f>
        <v>8714</v>
      </c>
    </row>
    <row r="623" spans="1:19" s="7" customFormat="1" x14ac:dyDescent="0.3">
      <c r="A623" t="s">
        <v>93</v>
      </c>
      <c r="B623"/>
      <c r="C623" t="s">
        <v>891</v>
      </c>
      <c r="D623" t="s">
        <v>36</v>
      </c>
      <c r="E623" t="s">
        <v>37</v>
      </c>
      <c r="F623" t="s">
        <v>38</v>
      </c>
      <c r="G623" t="s">
        <v>39</v>
      </c>
      <c r="H623">
        <v>2023</v>
      </c>
      <c r="I623" t="s">
        <v>271</v>
      </c>
      <c r="J623"/>
      <c r="K623"/>
      <c r="L623"/>
      <c r="M623">
        <v>2023</v>
      </c>
      <c r="N623"/>
      <c r="O623" t="s">
        <v>45</v>
      </c>
      <c r="P623"/>
      <c r="Q623" t="s">
        <v>1484</v>
      </c>
      <c r="R623" s="127" t="s">
        <v>910</v>
      </c>
      <c r="S623" s="68">
        <f>S609+S611+S613+S615</f>
        <v>53676</v>
      </c>
    </row>
    <row r="624" spans="1:19" s="7" customFormat="1" x14ac:dyDescent="0.3">
      <c r="A624" t="s">
        <v>93</v>
      </c>
      <c r="B624"/>
      <c r="C624" t="s">
        <v>891</v>
      </c>
      <c r="D624" t="s">
        <v>36</v>
      </c>
      <c r="E624" t="s">
        <v>37</v>
      </c>
      <c r="F624" t="s">
        <v>38</v>
      </c>
      <c r="G624" t="s">
        <v>39</v>
      </c>
      <c r="H624">
        <v>2023</v>
      </c>
      <c r="I624" t="s">
        <v>271</v>
      </c>
      <c r="J624"/>
      <c r="K624"/>
      <c r="L624"/>
      <c r="M624">
        <v>2023</v>
      </c>
      <c r="N624"/>
      <c r="O624" t="s">
        <v>45</v>
      </c>
      <c r="P624"/>
      <c r="Q624" t="s">
        <v>1484</v>
      </c>
      <c r="R624" s="127" t="s">
        <v>911</v>
      </c>
      <c r="S624" s="68">
        <f>S610+S612+S614+S616</f>
        <v>53476</v>
      </c>
    </row>
    <row r="625" spans="1:19" s="7" customFormat="1" x14ac:dyDescent="0.3">
      <c r="A625" t="s">
        <v>93</v>
      </c>
      <c r="B625"/>
      <c r="C625" t="s">
        <v>891</v>
      </c>
      <c r="D625" t="s">
        <v>36</v>
      </c>
      <c r="E625" t="s">
        <v>37</v>
      </c>
      <c r="F625" t="s">
        <v>38</v>
      </c>
      <c r="G625" t="s">
        <v>39</v>
      </c>
      <c r="H625">
        <v>2023</v>
      </c>
      <c r="I625" t="s">
        <v>271</v>
      </c>
      <c r="J625"/>
      <c r="K625"/>
      <c r="L625"/>
      <c r="M625">
        <v>2023</v>
      </c>
      <c r="N625"/>
      <c r="O625" t="s">
        <v>45</v>
      </c>
      <c r="P625"/>
      <c r="Q625" t="s">
        <v>1484</v>
      </c>
      <c r="R625" s="127" t="s">
        <v>912</v>
      </c>
      <c r="S625" s="127">
        <f>S617+S619</f>
        <v>57368</v>
      </c>
    </row>
    <row r="626" spans="1:19" s="7" customFormat="1" x14ac:dyDescent="0.3">
      <c r="A626" t="s">
        <v>93</v>
      </c>
      <c r="B626"/>
      <c r="C626" t="s">
        <v>891</v>
      </c>
      <c r="D626" t="s">
        <v>36</v>
      </c>
      <c r="E626" t="s">
        <v>37</v>
      </c>
      <c r="F626" t="s">
        <v>38</v>
      </c>
      <c r="G626" t="s">
        <v>39</v>
      </c>
      <c r="H626">
        <v>2023</v>
      </c>
      <c r="I626" t="s">
        <v>271</v>
      </c>
      <c r="J626"/>
      <c r="K626"/>
      <c r="L626"/>
      <c r="M626">
        <v>2023</v>
      </c>
      <c r="N626"/>
      <c r="O626" t="s">
        <v>45</v>
      </c>
      <c r="P626"/>
      <c r="Q626" t="s">
        <v>1484</v>
      </c>
      <c r="R626" s="127" t="s">
        <v>913</v>
      </c>
      <c r="S626" s="127">
        <f>S618+S620</f>
        <v>60824</v>
      </c>
    </row>
    <row r="627" spans="1:19" s="7" customFormat="1" x14ac:dyDescent="0.3">
      <c r="A627" t="s">
        <v>93</v>
      </c>
      <c r="B627"/>
      <c r="C627" t="s">
        <v>891</v>
      </c>
      <c r="D627" t="s">
        <v>36</v>
      </c>
      <c r="E627" t="s">
        <v>37</v>
      </c>
      <c r="F627" t="s">
        <v>38</v>
      </c>
      <c r="G627" t="s">
        <v>39</v>
      </c>
      <c r="H627">
        <v>2023</v>
      </c>
      <c r="I627" t="s">
        <v>271</v>
      </c>
      <c r="J627"/>
      <c r="K627"/>
      <c r="L627"/>
      <c r="M627">
        <v>2023</v>
      </c>
      <c r="N627"/>
      <c r="O627" t="s">
        <v>45</v>
      </c>
      <c r="P627"/>
      <c r="Q627" t="s">
        <v>1485</v>
      </c>
      <c r="R627" s="127" t="s">
        <v>914</v>
      </c>
      <c r="S627" s="127">
        <f>S621+S623+S625</f>
        <v>119029</v>
      </c>
    </row>
    <row r="628" spans="1:19" s="7" customFormat="1" x14ac:dyDescent="0.3">
      <c r="A628" t="s">
        <v>93</v>
      </c>
      <c r="B628"/>
      <c r="C628" t="s">
        <v>891</v>
      </c>
      <c r="D628" t="s">
        <v>36</v>
      </c>
      <c r="E628" t="s">
        <v>37</v>
      </c>
      <c r="F628" t="s">
        <v>38</v>
      </c>
      <c r="G628" t="s">
        <v>39</v>
      </c>
      <c r="H628">
        <v>2023</v>
      </c>
      <c r="I628" t="s">
        <v>271</v>
      </c>
      <c r="J628"/>
      <c r="K628"/>
      <c r="L628"/>
      <c r="M628">
        <v>2023</v>
      </c>
      <c r="N628"/>
      <c r="O628" t="s">
        <v>45</v>
      </c>
      <c r="P628"/>
      <c r="Q628" t="s">
        <v>1485</v>
      </c>
      <c r="R628" s="127" t="s">
        <v>915</v>
      </c>
      <c r="S628" s="127">
        <f>S622+S624+S626</f>
        <v>123014</v>
      </c>
    </row>
    <row r="629" spans="1:19" s="7" customFormat="1" x14ac:dyDescent="0.3">
      <c r="A629" t="s">
        <v>93</v>
      </c>
      <c r="B629"/>
      <c r="C629" t="s">
        <v>891</v>
      </c>
      <c r="D629" t="s">
        <v>36</v>
      </c>
      <c r="E629" t="s">
        <v>37</v>
      </c>
      <c r="F629" t="s">
        <v>38</v>
      </c>
      <c r="G629" t="s">
        <v>39</v>
      </c>
      <c r="H629">
        <v>2023</v>
      </c>
      <c r="I629" t="s">
        <v>271</v>
      </c>
      <c r="J629"/>
      <c r="K629"/>
      <c r="L629"/>
      <c r="M629">
        <v>2023</v>
      </c>
      <c r="N629"/>
      <c r="O629" t="s">
        <v>45</v>
      </c>
      <c r="P629"/>
      <c r="Q629" t="s">
        <v>1486</v>
      </c>
      <c r="R629" s="126" t="s">
        <v>916</v>
      </c>
      <c r="S629" s="126">
        <v>16930</v>
      </c>
    </row>
    <row r="630" spans="1:19" s="7" customFormat="1" x14ac:dyDescent="0.3">
      <c r="A630" t="s">
        <v>93</v>
      </c>
      <c r="B630"/>
      <c r="C630" t="s">
        <v>891</v>
      </c>
      <c r="D630" t="s">
        <v>36</v>
      </c>
      <c r="E630" t="s">
        <v>37</v>
      </c>
      <c r="F630" t="s">
        <v>38</v>
      </c>
      <c r="G630" t="s">
        <v>39</v>
      </c>
      <c r="H630">
        <v>2023</v>
      </c>
      <c r="I630" t="s">
        <v>271</v>
      </c>
      <c r="J630"/>
      <c r="K630"/>
      <c r="L630"/>
      <c r="M630">
        <v>2023</v>
      </c>
      <c r="N630"/>
      <c r="O630" t="s">
        <v>45</v>
      </c>
      <c r="P630"/>
      <c r="Q630" t="s">
        <v>1486</v>
      </c>
      <c r="R630" s="126" t="s">
        <v>917</v>
      </c>
      <c r="S630" s="126">
        <v>17700</v>
      </c>
    </row>
    <row r="631" spans="1:19" s="7" customFormat="1" x14ac:dyDescent="0.3">
      <c r="A631" t="s">
        <v>93</v>
      </c>
      <c r="B631"/>
      <c r="C631" t="s">
        <v>891</v>
      </c>
      <c r="D631" t="s">
        <v>36</v>
      </c>
      <c r="E631" t="s">
        <v>37</v>
      </c>
      <c r="F631" t="s">
        <v>38</v>
      </c>
      <c r="G631" t="s">
        <v>39</v>
      </c>
      <c r="H631">
        <v>2023</v>
      </c>
      <c r="I631" t="s">
        <v>271</v>
      </c>
      <c r="J631"/>
      <c r="K631"/>
      <c r="L631"/>
      <c r="M631">
        <v>2023</v>
      </c>
      <c r="N631"/>
      <c r="O631" t="s">
        <v>45</v>
      </c>
      <c r="P631"/>
      <c r="Q631" t="s">
        <v>1487</v>
      </c>
      <c r="R631" s="126" t="s">
        <v>918</v>
      </c>
      <c r="S631" s="126">
        <v>25259</v>
      </c>
    </row>
    <row r="632" spans="1:19" s="7" customFormat="1" x14ac:dyDescent="0.3">
      <c r="A632" t="s">
        <v>93</v>
      </c>
      <c r="B632"/>
      <c r="C632" t="s">
        <v>891</v>
      </c>
      <c r="D632" t="s">
        <v>36</v>
      </c>
      <c r="E632" t="s">
        <v>37</v>
      </c>
      <c r="F632" t="s">
        <v>38</v>
      </c>
      <c r="G632" t="s">
        <v>39</v>
      </c>
      <c r="H632">
        <v>2023</v>
      </c>
      <c r="I632" t="s">
        <v>271</v>
      </c>
      <c r="J632"/>
      <c r="K632"/>
      <c r="L632"/>
      <c r="M632">
        <v>2023</v>
      </c>
      <c r="N632"/>
      <c r="O632" t="s">
        <v>45</v>
      </c>
      <c r="P632"/>
      <c r="Q632" t="s">
        <v>1487</v>
      </c>
      <c r="R632" s="126" t="s">
        <v>919</v>
      </c>
      <c r="S632" s="126">
        <v>25946</v>
      </c>
    </row>
    <row r="633" spans="1:19" s="7" customFormat="1" x14ac:dyDescent="0.3">
      <c r="A633" t="s">
        <v>93</v>
      </c>
      <c r="B633"/>
      <c r="C633" t="s">
        <v>891</v>
      </c>
      <c r="D633" t="s">
        <v>36</v>
      </c>
      <c r="E633" t="s">
        <v>37</v>
      </c>
      <c r="F633" t="s">
        <v>38</v>
      </c>
      <c r="G633" t="s">
        <v>39</v>
      </c>
      <c r="H633">
        <v>2023</v>
      </c>
      <c r="I633" t="s">
        <v>271</v>
      </c>
      <c r="J633"/>
      <c r="K633"/>
      <c r="L633"/>
      <c r="M633">
        <v>2023</v>
      </c>
      <c r="N633"/>
      <c r="O633" t="s">
        <v>45</v>
      </c>
      <c r="P633"/>
      <c r="Q633" t="s">
        <v>1488</v>
      </c>
      <c r="R633" s="126" t="s">
        <v>920</v>
      </c>
      <c r="S633" s="126">
        <v>11893</v>
      </c>
    </row>
    <row r="634" spans="1:19" s="7" customFormat="1" x14ac:dyDescent="0.3">
      <c r="A634" t="s">
        <v>93</v>
      </c>
      <c r="B634"/>
      <c r="C634" t="s">
        <v>891</v>
      </c>
      <c r="D634" t="s">
        <v>36</v>
      </c>
      <c r="E634" t="s">
        <v>37</v>
      </c>
      <c r="F634" t="s">
        <v>38</v>
      </c>
      <c r="G634" t="s">
        <v>39</v>
      </c>
      <c r="H634">
        <v>2023</v>
      </c>
      <c r="I634" t="s">
        <v>271</v>
      </c>
      <c r="J634"/>
      <c r="K634"/>
      <c r="L634"/>
      <c r="M634">
        <v>2023</v>
      </c>
      <c r="N634"/>
      <c r="O634" t="s">
        <v>45</v>
      </c>
      <c r="P634"/>
      <c r="Q634" t="s">
        <v>1488</v>
      </c>
      <c r="R634" s="126" t="s">
        <v>921</v>
      </c>
      <c r="S634" s="126">
        <v>12179</v>
      </c>
    </row>
    <row r="635" spans="1:19" s="7" customFormat="1" x14ac:dyDescent="0.3">
      <c r="A635" t="s">
        <v>93</v>
      </c>
      <c r="B635"/>
      <c r="C635" t="s">
        <v>891</v>
      </c>
      <c r="D635" t="s">
        <v>36</v>
      </c>
      <c r="E635" t="s">
        <v>37</v>
      </c>
      <c r="F635" t="s">
        <v>38</v>
      </c>
      <c r="G635" t="s">
        <v>39</v>
      </c>
      <c r="H635">
        <v>2023</v>
      </c>
      <c r="I635" t="s">
        <v>271</v>
      </c>
      <c r="J635"/>
      <c r="K635"/>
      <c r="L635"/>
      <c r="M635">
        <v>2023</v>
      </c>
      <c r="N635"/>
      <c r="O635" t="s">
        <v>45</v>
      </c>
      <c r="P635"/>
      <c r="Q635" t="s">
        <v>1485</v>
      </c>
      <c r="R635" s="127" t="s">
        <v>922</v>
      </c>
      <c r="S635" s="68">
        <f>S629+S631+S633</f>
        <v>54082</v>
      </c>
    </row>
    <row r="636" spans="1:19" s="7" customFormat="1" x14ac:dyDescent="0.3">
      <c r="A636" t="s">
        <v>93</v>
      </c>
      <c r="B636"/>
      <c r="C636" t="s">
        <v>891</v>
      </c>
      <c r="D636" t="s">
        <v>36</v>
      </c>
      <c r="E636" t="s">
        <v>37</v>
      </c>
      <c r="F636" t="s">
        <v>38</v>
      </c>
      <c r="G636" t="s">
        <v>39</v>
      </c>
      <c r="H636">
        <v>2023</v>
      </c>
      <c r="I636" t="s">
        <v>271</v>
      </c>
      <c r="J636"/>
      <c r="K636"/>
      <c r="L636"/>
      <c r="M636">
        <v>2023</v>
      </c>
      <c r="N636"/>
      <c r="O636" t="s">
        <v>45</v>
      </c>
      <c r="P636"/>
      <c r="Q636" t="s">
        <v>1485</v>
      </c>
      <c r="R636" s="127" t="s">
        <v>923</v>
      </c>
      <c r="S636" s="68">
        <f>S630+S632+S634</f>
        <v>55825</v>
      </c>
    </row>
    <row r="637" spans="1:19" s="7" customFormat="1" x14ac:dyDescent="0.3">
      <c r="A637" t="s">
        <v>93</v>
      </c>
      <c r="B637"/>
      <c r="C637" t="s">
        <v>891</v>
      </c>
      <c r="D637" t="s">
        <v>36</v>
      </c>
      <c r="E637" t="s">
        <v>37</v>
      </c>
      <c r="F637" t="s">
        <v>38</v>
      </c>
      <c r="G637" t="s">
        <v>39</v>
      </c>
      <c r="H637">
        <v>2023</v>
      </c>
      <c r="I637" t="s">
        <v>271</v>
      </c>
      <c r="J637"/>
      <c r="K637"/>
      <c r="L637"/>
      <c r="M637">
        <v>2023</v>
      </c>
      <c r="N637"/>
      <c r="O637" t="s">
        <v>45</v>
      </c>
      <c r="P637"/>
      <c r="Q637"/>
      <c r="R637" s="68" t="s">
        <v>924</v>
      </c>
      <c r="S637" s="128">
        <f>((S621+S623+S625)/(S629+S631+S633))</f>
        <v>2.2008986354054954</v>
      </c>
    </row>
    <row r="638" spans="1:19" s="7" customFormat="1" x14ac:dyDescent="0.3">
      <c r="A638" t="s">
        <v>93</v>
      </c>
      <c r="B638"/>
      <c r="C638" t="s">
        <v>891</v>
      </c>
      <c r="D638" t="s">
        <v>36</v>
      </c>
      <c r="E638" t="s">
        <v>37</v>
      </c>
      <c r="F638" t="s">
        <v>38</v>
      </c>
      <c r="G638" t="s">
        <v>39</v>
      </c>
      <c r="H638">
        <v>2023</v>
      </c>
      <c r="I638" t="s">
        <v>271</v>
      </c>
      <c r="J638"/>
      <c r="K638"/>
      <c r="L638"/>
      <c r="M638">
        <v>2023</v>
      </c>
      <c r="N638"/>
      <c r="O638" t="s">
        <v>45</v>
      </c>
      <c r="P638"/>
      <c r="Q638"/>
      <c r="R638" s="68" t="s">
        <v>925</v>
      </c>
      <c r="S638" s="128">
        <f>((S622+S624+S626)/(S630+S632+S634))</f>
        <v>2.2035647111509182</v>
      </c>
    </row>
    <row r="639" spans="1:19" s="7" customFormat="1" x14ac:dyDescent="0.3">
      <c r="A639" t="s">
        <v>93</v>
      </c>
      <c r="B639"/>
      <c r="C639" s="132" t="s">
        <v>927</v>
      </c>
      <c r="D639" t="s">
        <v>36</v>
      </c>
      <c r="E639" t="s">
        <v>37</v>
      </c>
      <c r="F639" t="s">
        <v>38</v>
      </c>
      <c r="G639" t="s">
        <v>39</v>
      </c>
      <c r="H639">
        <v>2023</v>
      </c>
      <c r="I639" t="s">
        <v>271</v>
      </c>
      <c r="J639"/>
      <c r="K639"/>
      <c r="L639"/>
      <c r="M639">
        <v>2023</v>
      </c>
      <c r="N639"/>
      <c r="O639" t="s">
        <v>45</v>
      </c>
      <c r="P639"/>
      <c r="Q639" t="s">
        <v>1489</v>
      </c>
      <c r="R639" s="126" t="s">
        <v>928</v>
      </c>
      <c r="S639" s="126">
        <v>28.725999999999999</v>
      </c>
    </row>
    <row r="640" spans="1:19" s="7" customFormat="1" x14ac:dyDescent="0.3">
      <c r="A640" t="s">
        <v>93</v>
      </c>
      <c r="B640"/>
      <c r="C640" s="132" t="s">
        <v>927</v>
      </c>
      <c r="D640" t="s">
        <v>36</v>
      </c>
      <c r="E640" t="s">
        <v>37</v>
      </c>
      <c r="F640" t="s">
        <v>38</v>
      </c>
      <c r="G640" t="s">
        <v>39</v>
      </c>
      <c r="H640">
        <v>2023</v>
      </c>
      <c r="I640" t="s">
        <v>271</v>
      </c>
      <c r="J640"/>
      <c r="K640"/>
      <c r="L640"/>
      <c r="M640">
        <v>2023</v>
      </c>
      <c r="N640"/>
      <c r="O640" t="s">
        <v>45</v>
      </c>
      <c r="P640"/>
      <c r="Q640" t="s">
        <v>1489</v>
      </c>
      <c r="R640" s="126" t="s">
        <v>929</v>
      </c>
      <c r="S640" s="126">
        <v>28.376000000000001</v>
      </c>
    </row>
    <row r="641" spans="1:19" s="7" customFormat="1" x14ac:dyDescent="0.3">
      <c r="A641" t="s">
        <v>93</v>
      </c>
      <c r="B641"/>
      <c r="C641" s="132" t="s">
        <v>927</v>
      </c>
      <c r="D641" t="s">
        <v>36</v>
      </c>
      <c r="E641" t="s">
        <v>37</v>
      </c>
      <c r="F641" t="s">
        <v>38</v>
      </c>
      <c r="G641" t="s">
        <v>39</v>
      </c>
      <c r="H641">
        <v>2023</v>
      </c>
      <c r="I641" t="s">
        <v>271</v>
      </c>
      <c r="J641"/>
      <c r="K641"/>
      <c r="L641"/>
      <c r="M641">
        <v>2023</v>
      </c>
      <c r="N641"/>
      <c r="O641" t="s">
        <v>45</v>
      </c>
      <c r="P641"/>
      <c r="Q641" t="s">
        <v>1490</v>
      </c>
      <c r="R641" s="126" t="s">
        <v>930</v>
      </c>
      <c r="S641" s="126">
        <v>329.35</v>
      </c>
    </row>
    <row r="642" spans="1:19" s="7" customFormat="1" x14ac:dyDescent="0.3">
      <c r="A642" t="s">
        <v>93</v>
      </c>
      <c r="B642"/>
      <c r="C642" s="132" t="s">
        <v>927</v>
      </c>
      <c r="D642" t="s">
        <v>36</v>
      </c>
      <c r="E642" t="s">
        <v>37</v>
      </c>
      <c r="F642" t="s">
        <v>38</v>
      </c>
      <c r="G642" t="s">
        <v>39</v>
      </c>
      <c r="H642">
        <v>2023</v>
      </c>
      <c r="I642" t="s">
        <v>271</v>
      </c>
      <c r="J642"/>
      <c r="K642"/>
      <c r="L642"/>
      <c r="M642">
        <v>2023</v>
      </c>
      <c r="N642"/>
      <c r="O642" t="s">
        <v>45</v>
      </c>
      <c r="P642"/>
      <c r="Q642" t="s">
        <v>1490</v>
      </c>
      <c r="R642" s="126" t="s">
        <v>931</v>
      </c>
      <c r="S642" s="126">
        <v>33.814</v>
      </c>
    </row>
    <row r="643" spans="1:19" s="7" customFormat="1" x14ac:dyDescent="0.3">
      <c r="A643" t="s">
        <v>93</v>
      </c>
      <c r="B643"/>
      <c r="C643" s="132" t="s">
        <v>927</v>
      </c>
      <c r="D643" t="s">
        <v>36</v>
      </c>
      <c r="E643" t="s">
        <v>37</v>
      </c>
      <c r="F643" t="s">
        <v>38</v>
      </c>
      <c r="G643" t="s">
        <v>39</v>
      </c>
      <c r="H643">
        <v>2023</v>
      </c>
      <c r="I643" t="s">
        <v>271</v>
      </c>
      <c r="J643"/>
      <c r="K643"/>
      <c r="L643"/>
      <c r="M643">
        <v>2023</v>
      </c>
      <c r="N643"/>
      <c r="O643" t="s">
        <v>45</v>
      </c>
      <c r="P643"/>
      <c r="Q643" t="s">
        <v>1491</v>
      </c>
      <c r="R643" s="126" t="s">
        <v>932</v>
      </c>
      <c r="S643" s="126">
        <v>508.464</v>
      </c>
    </row>
    <row r="644" spans="1:19" s="7" customFormat="1" x14ac:dyDescent="0.3">
      <c r="A644" t="s">
        <v>93</v>
      </c>
      <c r="B644"/>
      <c r="C644" s="132" t="s">
        <v>927</v>
      </c>
      <c r="D644" t="s">
        <v>36</v>
      </c>
      <c r="E644" t="s">
        <v>37</v>
      </c>
      <c r="F644" t="s">
        <v>38</v>
      </c>
      <c r="G644" t="s">
        <v>39</v>
      </c>
      <c r="H644">
        <v>2023</v>
      </c>
      <c r="I644" t="s">
        <v>271</v>
      </c>
      <c r="J644"/>
      <c r="K644"/>
      <c r="L644"/>
      <c r="M644">
        <v>2023</v>
      </c>
      <c r="N644"/>
      <c r="O644" t="s">
        <v>45</v>
      </c>
      <c r="P644"/>
      <c r="Q644" t="s">
        <v>1491</v>
      </c>
      <c r="R644" s="126" t="s">
        <v>933</v>
      </c>
      <c r="S644" s="126">
        <v>517.12800000000004</v>
      </c>
    </row>
    <row r="645" spans="1:19" s="7" customFormat="1" x14ac:dyDescent="0.3">
      <c r="A645" t="s">
        <v>93</v>
      </c>
      <c r="B645"/>
      <c r="C645" s="132" t="s">
        <v>927</v>
      </c>
      <c r="D645" t="s">
        <v>36</v>
      </c>
      <c r="E645" t="s">
        <v>37</v>
      </c>
      <c r="F645" t="s">
        <v>38</v>
      </c>
      <c r="G645" t="s">
        <v>39</v>
      </c>
      <c r="H645">
        <v>2023</v>
      </c>
      <c r="I645" t="s">
        <v>271</v>
      </c>
      <c r="J645"/>
      <c r="K645"/>
      <c r="L645"/>
      <c r="M645">
        <v>2023</v>
      </c>
      <c r="N645"/>
      <c r="O645" t="s">
        <v>45</v>
      </c>
      <c r="P645"/>
      <c r="Q645" t="s">
        <v>1492</v>
      </c>
      <c r="R645" s="129" t="s">
        <v>934</v>
      </c>
      <c r="S645" s="129">
        <v>1007.18</v>
      </c>
    </row>
    <row r="646" spans="1:19" s="7" customFormat="1" x14ac:dyDescent="0.3">
      <c r="A646" t="s">
        <v>93</v>
      </c>
      <c r="B646"/>
      <c r="C646" s="132" t="s">
        <v>927</v>
      </c>
      <c r="D646" t="s">
        <v>36</v>
      </c>
      <c r="E646" t="s">
        <v>37</v>
      </c>
      <c r="F646" t="s">
        <v>38</v>
      </c>
      <c r="G646" t="s">
        <v>39</v>
      </c>
      <c r="H646">
        <v>2023</v>
      </c>
      <c r="I646" t="s">
        <v>271</v>
      </c>
      <c r="J646"/>
      <c r="K646"/>
      <c r="L646"/>
      <c r="M646">
        <v>2023</v>
      </c>
      <c r="N646"/>
      <c r="O646" t="s">
        <v>45</v>
      </c>
      <c r="P646"/>
      <c r="Q646" t="s">
        <v>1492</v>
      </c>
      <c r="R646" s="129" t="s">
        <v>935</v>
      </c>
      <c r="S646" s="129">
        <v>1011.773</v>
      </c>
    </row>
    <row r="647" spans="1:19" s="7" customFormat="1" x14ac:dyDescent="0.3">
      <c r="A647" t="s">
        <v>93</v>
      </c>
      <c r="B647"/>
      <c r="C647" s="132" t="s">
        <v>927</v>
      </c>
      <c r="D647" t="s">
        <v>36</v>
      </c>
      <c r="E647" t="s">
        <v>37</v>
      </c>
      <c r="F647" t="s">
        <v>38</v>
      </c>
      <c r="G647" t="s">
        <v>39</v>
      </c>
      <c r="H647">
        <v>2023</v>
      </c>
      <c r="I647" t="s">
        <v>271</v>
      </c>
      <c r="J647"/>
      <c r="K647"/>
      <c r="L647"/>
      <c r="M647">
        <v>2023</v>
      </c>
      <c r="N647"/>
      <c r="O647" t="s">
        <v>45</v>
      </c>
      <c r="P647"/>
      <c r="Q647" t="s">
        <v>1493</v>
      </c>
      <c r="R647" s="126" t="s">
        <v>936</v>
      </c>
      <c r="S647" s="126">
        <v>47.246000000000002</v>
      </c>
    </row>
    <row r="648" spans="1:19" s="7" customFormat="1" x14ac:dyDescent="0.3">
      <c r="A648" t="s">
        <v>93</v>
      </c>
      <c r="B648"/>
      <c r="C648" s="132" t="s">
        <v>927</v>
      </c>
      <c r="D648" t="s">
        <v>36</v>
      </c>
      <c r="E648" t="s">
        <v>37</v>
      </c>
      <c r="F648" t="s">
        <v>38</v>
      </c>
      <c r="G648" t="s">
        <v>39</v>
      </c>
      <c r="H648">
        <v>2023</v>
      </c>
      <c r="I648" t="s">
        <v>271</v>
      </c>
      <c r="J648"/>
      <c r="K648"/>
      <c r="L648"/>
      <c r="M648">
        <v>2023</v>
      </c>
      <c r="N648"/>
      <c r="O648" t="s">
        <v>45</v>
      </c>
      <c r="P648"/>
      <c r="Q648" t="s">
        <v>1494</v>
      </c>
      <c r="R648" s="126" t="s">
        <v>937</v>
      </c>
      <c r="S648" s="126">
        <v>34.790999999999997</v>
      </c>
    </row>
    <row r="649" spans="1:19" s="7" customFormat="1" x14ac:dyDescent="0.3">
      <c r="A649" t="s">
        <v>93</v>
      </c>
      <c r="B649"/>
      <c r="C649" s="132" t="s">
        <v>927</v>
      </c>
      <c r="D649" t="s">
        <v>36</v>
      </c>
      <c r="E649" t="s">
        <v>37</v>
      </c>
      <c r="F649" t="s">
        <v>38</v>
      </c>
      <c r="G649" t="s">
        <v>39</v>
      </c>
      <c r="H649">
        <v>2023</v>
      </c>
      <c r="I649" t="s">
        <v>271</v>
      </c>
      <c r="J649"/>
      <c r="K649"/>
      <c r="L649"/>
      <c r="M649">
        <v>2023</v>
      </c>
      <c r="N649"/>
      <c r="O649" t="s">
        <v>45</v>
      </c>
      <c r="P649"/>
      <c r="Q649" t="s">
        <v>1495</v>
      </c>
      <c r="R649" s="126" t="s">
        <v>938</v>
      </c>
      <c r="S649" s="126">
        <v>24.917999999999999</v>
      </c>
    </row>
    <row r="650" spans="1:19" s="7" customFormat="1" x14ac:dyDescent="0.3">
      <c r="A650" t="s">
        <v>93</v>
      </c>
      <c r="B650"/>
      <c r="C650" s="132" t="s">
        <v>927</v>
      </c>
      <c r="D650" t="s">
        <v>36</v>
      </c>
      <c r="E650" t="s">
        <v>37</v>
      </c>
      <c r="F650" t="s">
        <v>38</v>
      </c>
      <c r="G650" t="s">
        <v>39</v>
      </c>
      <c r="H650">
        <v>2023</v>
      </c>
      <c r="I650" t="s">
        <v>271</v>
      </c>
      <c r="J650"/>
      <c r="K650"/>
      <c r="L650"/>
      <c r="M650">
        <v>2023</v>
      </c>
      <c r="N650"/>
      <c r="O650" t="s">
        <v>45</v>
      </c>
      <c r="P650"/>
      <c r="Q650" t="s">
        <v>1495</v>
      </c>
      <c r="R650" s="126" t="s">
        <v>939</v>
      </c>
      <c r="S650" s="126">
        <v>26.143000000000001</v>
      </c>
    </row>
    <row r="651" spans="1:19" s="7" customFormat="1" x14ac:dyDescent="0.3">
      <c r="A651" t="s">
        <v>93</v>
      </c>
      <c r="B651"/>
      <c r="C651" s="132" t="s">
        <v>927</v>
      </c>
      <c r="D651" t="s">
        <v>36</v>
      </c>
      <c r="E651" t="s">
        <v>37</v>
      </c>
      <c r="F651" t="s">
        <v>38</v>
      </c>
      <c r="G651" t="s">
        <v>39</v>
      </c>
      <c r="H651">
        <v>2023</v>
      </c>
      <c r="I651" t="s">
        <v>271</v>
      </c>
      <c r="J651"/>
      <c r="K651"/>
      <c r="L651"/>
      <c r="M651">
        <v>2023</v>
      </c>
      <c r="N651"/>
      <c r="O651" t="s">
        <v>45</v>
      </c>
      <c r="P651"/>
      <c r="Q651" t="s">
        <v>1496</v>
      </c>
      <c r="R651" s="127" t="s">
        <v>940</v>
      </c>
      <c r="S651" s="68">
        <f>S639+S641+S643+S645+S647+S649</f>
        <v>1945.8839999999998</v>
      </c>
    </row>
    <row r="652" spans="1:19" s="7" customFormat="1" x14ac:dyDescent="0.3">
      <c r="A652" t="s">
        <v>93</v>
      </c>
      <c r="B652"/>
      <c r="C652" s="132" t="s">
        <v>927</v>
      </c>
      <c r="D652" t="s">
        <v>36</v>
      </c>
      <c r="E652" t="s">
        <v>37</v>
      </c>
      <c r="F652" t="s">
        <v>38</v>
      </c>
      <c r="G652" t="s">
        <v>39</v>
      </c>
      <c r="H652">
        <v>2023</v>
      </c>
      <c r="I652" t="s">
        <v>271</v>
      </c>
      <c r="J652"/>
      <c r="K652"/>
      <c r="L652"/>
      <c r="M652">
        <v>2023</v>
      </c>
      <c r="N652"/>
      <c r="O652" t="s">
        <v>45</v>
      </c>
      <c r="P652"/>
      <c r="Q652" t="s">
        <v>1496</v>
      </c>
      <c r="R652" s="127" t="s">
        <v>941</v>
      </c>
      <c r="S652" s="68">
        <f>S640+S642+S644+S646+S648+S650</f>
        <v>1652.0249999999999</v>
      </c>
    </row>
    <row r="653" spans="1:19" s="7" customFormat="1" x14ac:dyDescent="0.3">
      <c r="A653" t="s">
        <v>93</v>
      </c>
      <c r="B653"/>
      <c r="C653" s="132" t="s">
        <v>927</v>
      </c>
      <c r="D653" t="s">
        <v>36</v>
      </c>
      <c r="E653" t="s">
        <v>37</v>
      </c>
      <c r="F653" t="s">
        <v>38</v>
      </c>
      <c r="G653" t="s">
        <v>39</v>
      </c>
      <c r="H653">
        <v>2023</v>
      </c>
      <c r="I653" t="s">
        <v>271</v>
      </c>
      <c r="J653"/>
      <c r="K653"/>
      <c r="L653"/>
      <c r="M653">
        <v>2023</v>
      </c>
      <c r="N653"/>
      <c r="O653" t="s">
        <v>45</v>
      </c>
      <c r="P653"/>
      <c r="Q653" t="s">
        <v>1497</v>
      </c>
      <c r="R653" s="7" t="s">
        <v>942</v>
      </c>
      <c r="S653" s="7">
        <v>972.65499999999997</v>
      </c>
    </row>
    <row r="654" spans="1:19" s="7" customFormat="1" x14ac:dyDescent="0.3">
      <c r="A654" t="s">
        <v>93</v>
      </c>
      <c r="B654"/>
      <c r="C654" s="132" t="s">
        <v>927</v>
      </c>
      <c r="D654" t="s">
        <v>36</v>
      </c>
      <c r="E654" t="s">
        <v>37</v>
      </c>
      <c r="F654" t="s">
        <v>38</v>
      </c>
      <c r="G654" t="s">
        <v>39</v>
      </c>
      <c r="H654">
        <v>2023</v>
      </c>
      <c r="I654" t="s">
        <v>271</v>
      </c>
      <c r="J654"/>
      <c r="K654"/>
      <c r="L654"/>
      <c r="M654">
        <v>2023</v>
      </c>
      <c r="N654"/>
      <c r="O654" t="s">
        <v>45</v>
      </c>
      <c r="P654"/>
      <c r="Q654" t="s">
        <v>1497</v>
      </c>
      <c r="R654" s="7" t="s">
        <v>943</v>
      </c>
      <c r="S654" s="126">
        <v>979.58399999999995</v>
      </c>
    </row>
    <row r="655" spans="1:19" s="7" customFormat="1" x14ac:dyDescent="0.3">
      <c r="A655" t="s">
        <v>93</v>
      </c>
      <c r="B655"/>
      <c r="C655" s="132" t="s">
        <v>927</v>
      </c>
      <c r="D655" t="s">
        <v>36</v>
      </c>
      <c r="E655" t="s">
        <v>37</v>
      </c>
      <c r="F655" t="s">
        <v>38</v>
      </c>
      <c r="G655" t="s">
        <v>39</v>
      </c>
      <c r="H655">
        <v>2023</v>
      </c>
      <c r="I655" t="s">
        <v>271</v>
      </c>
      <c r="J655"/>
      <c r="K655"/>
      <c r="L655"/>
      <c r="M655">
        <v>2023</v>
      </c>
      <c r="N655"/>
      <c r="O655" t="s">
        <v>45</v>
      </c>
      <c r="P655"/>
      <c r="Q655"/>
      <c r="R655" s="7" t="s">
        <v>944</v>
      </c>
      <c r="S655" s="126">
        <f>S651/S653</f>
        <v>2.0005901373045938</v>
      </c>
    </row>
    <row r="656" spans="1:19" s="7" customFormat="1" x14ac:dyDescent="0.3">
      <c r="A656" t="s">
        <v>93</v>
      </c>
      <c r="B656"/>
      <c r="C656" s="132" t="s">
        <v>927</v>
      </c>
      <c r="D656" t="s">
        <v>36</v>
      </c>
      <c r="E656" t="s">
        <v>37</v>
      </c>
      <c r="F656" t="s">
        <v>38</v>
      </c>
      <c r="G656" t="s">
        <v>39</v>
      </c>
      <c r="H656">
        <v>2023</v>
      </c>
      <c r="I656" t="s">
        <v>271</v>
      </c>
      <c r="J656"/>
      <c r="K656"/>
      <c r="L656"/>
      <c r="M656">
        <v>2023</v>
      </c>
      <c r="N656"/>
      <c r="O656" t="s">
        <v>45</v>
      </c>
      <c r="P656"/>
      <c r="Q656"/>
      <c r="R656" s="7" t="s">
        <v>945</v>
      </c>
      <c r="S656" s="126">
        <f>S652/S654</f>
        <v>1.686455679145433</v>
      </c>
    </row>
    <row r="657" spans="1:19" s="7" customFormat="1" x14ac:dyDescent="0.3">
      <c r="A657" t="s">
        <v>93</v>
      </c>
      <c r="B657"/>
      <c r="C657" s="132" t="s">
        <v>946</v>
      </c>
      <c r="D657" t="s">
        <v>36</v>
      </c>
      <c r="E657" t="s">
        <v>37</v>
      </c>
      <c r="F657" t="s">
        <v>38</v>
      </c>
      <c r="G657" t="s">
        <v>39</v>
      </c>
      <c r="H657">
        <v>2023</v>
      </c>
      <c r="I657" t="s">
        <v>271</v>
      </c>
      <c r="J657"/>
      <c r="K657"/>
      <c r="L657"/>
      <c r="M657">
        <v>2023</v>
      </c>
      <c r="N657"/>
      <c r="O657" t="s">
        <v>45</v>
      </c>
      <c r="P657"/>
      <c r="Q657" t="s">
        <v>1498</v>
      </c>
      <c r="R657" s="7" t="s">
        <v>947</v>
      </c>
      <c r="S657" s="126">
        <v>0.129</v>
      </c>
    </row>
    <row r="658" spans="1:19" s="7" customFormat="1" x14ac:dyDescent="0.3">
      <c r="A658" t="s">
        <v>93</v>
      </c>
      <c r="B658"/>
      <c r="C658" s="132" t="s">
        <v>946</v>
      </c>
      <c r="D658" t="s">
        <v>36</v>
      </c>
      <c r="E658" t="s">
        <v>37</v>
      </c>
      <c r="F658" t="s">
        <v>38</v>
      </c>
      <c r="G658" t="s">
        <v>39</v>
      </c>
      <c r="H658">
        <v>2023</v>
      </c>
      <c r="I658" t="s">
        <v>271</v>
      </c>
      <c r="J658"/>
      <c r="K658"/>
      <c r="L658"/>
      <c r="M658">
        <v>2023</v>
      </c>
      <c r="N658"/>
      <c r="O658" t="s">
        <v>45</v>
      </c>
      <c r="P658"/>
      <c r="Q658" t="s">
        <v>1498</v>
      </c>
      <c r="R658" s="7" t="s">
        <v>948</v>
      </c>
      <c r="S658" s="126">
        <v>0.22800000000000001</v>
      </c>
    </row>
    <row r="659" spans="1:19" s="7" customFormat="1" x14ac:dyDescent="0.3">
      <c r="A659" t="s">
        <v>93</v>
      </c>
      <c r="B659"/>
      <c r="C659" s="132" t="s">
        <v>946</v>
      </c>
      <c r="D659" t="s">
        <v>36</v>
      </c>
      <c r="E659" t="s">
        <v>37</v>
      </c>
      <c r="F659" t="s">
        <v>38</v>
      </c>
      <c r="G659" t="s">
        <v>39</v>
      </c>
      <c r="H659">
        <v>2023</v>
      </c>
      <c r="I659" t="s">
        <v>271</v>
      </c>
      <c r="J659"/>
      <c r="K659"/>
      <c r="L659"/>
      <c r="M659">
        <v>2023</v>
      </c>
      <c r="N659"/>
      <c r="O659" t="s">
        <v>45</v>
      </c>
      <c r="P659"/>
      <c r="Q659" t="s">
        <v>1499</v>
      </c>
      <c r="R659" s="126" t="s">
        <v>949</v>
      </c>
      <c r="S659" s="126">
        <v>267</v>
      </c>
    </row>
    <row r="660" spans="1:19" s="7" customFormat="1" x14ac:dyDescent="0.3">
      <c r="A660" t="s">
        <v>93</v>
      </c>
      <c r="B660"/>
      <c r="C660" s="132" t="s">
        <v>946</v>
      </c>
      <c r="D660" t="s">
        <v>36</v>
      </c>
      <c r="E660" t="s">
        <v>37</v>
      </c>
      <c r="F660" t="s">
        <v>38</v>
      </c>
      <c r="G660" t="s">
        <v>39</v>
      </c>
      <c r="H660">
        <v>2023</v>
      </c>
      <c r="I660" t="s">
        <v>271</v>
      </c>
      <c r="J660"/>
      <c r="K660"/>
      <c r="L660"/>
      <c r="M660">
        <v>2023</v>
      </c>
      <c r="N660"/>
      <c r="O660" t="s">
        <v>45</v>
      </c>
      <c r="P660"/>
      <c r="Q660" t="s">
        <v>1499</v>
      </c>
      <c r="R660" s="126" t="s">
        <v>950</v>
      </c>
      <c r="S660" s="126">
        <v>732</v>
      </c>
    </row>
    <row r="661" spans="1:19" s="7" customFormat="1" x14ac:dyDescent="0.3">
      <c r="A661" t="s">
        <v>93</v>
      </c>
      <c r="B661"/>
      <c r="C661" s="132" t="s">
        <v>946</v>
      </c>
      <c r="D661" t="s">
        <v>36</v>
      </c>
      <c r="E661" t="s">
        <v>37</v>
      </c>
      <c r="F661" t="s">
        <v>38</v>
      </c>
      <c r="G661" t="s">
        <v>39</v>
      </c>
      <c r="H661">
        <v>2023</v>
      </c>
      <c r="I661" t="s">
        <v>271</v>
      </c>
      <c r="J661"/>
      <c r="K661"/>
      <c r="L661"/>
      <c r="M661">
        <v>2023</v>
      </c>
      <c r="N661"/>
      <c r="O661" t="s">
        <v>45</v>
      </c>
      <c r="P661"/>
      <c r="Q661" t="s">
        <v>1500</v>
      </c>
      <c r="R661" s="126" t="s">
        <v>951</v>
      </c>
      <c r="S661" s="126">
        <v>1809</v>
      </c>
    </row>
    <row r="662" spans="1:19" s="7" customFormat="1" x14ac:dyDescent="0.3">
      <c r="A662" t="s">
        <v>93</v>
      </c>
      <c r="B662"/>
      <c r="C662" s="132" t="s">
        <v>946</v>
      </c>
      <c r="D662" t="s">
        <v>36</v>
      </c>
      <c r="E662" t="s">
        <v>37</v>
      </c>
      <c r="F662" t="s">
        <v>38</v>
      </c>
      <c r="G662" t="s">
        <v>39</v>
      </c>
      <c r="H662">
        <v>2023</v>
      </c>
      <c r="I662" t="s">
        <v>271</v>
      </c>
      <c r="J662"/>
      <c r="K662"/>
      <c r="L662"/>
      <c r="M662">
        <v>2023</v>
      </c>
      <c r="N662"/>
      <c r="O662" t="s">
        <v>45</v>
      </c>
      <c r="P662"/>
      <c r="Q662" t="s">
        <v>1500</v>
      </c>
      <c r="R662" s="126" t="s">
        <v>952</v>
      </c>
      <c r="S662" s="126">
        <v>4339</v>
      </c>
    </row>
    <row r="663" spans="1:19" s="7" customFormat="1" x14ac:dyDescent="0.3">
      <c r="A663" t="s">
        <v>93</v>
      </c>
      <c r="B663"/>
      <c r="C663" s="132" t="s">
        <v>946</v>
      </c>
      <c r="D663" t="s">
        <v>36</v>
      </c>
      <c r="E663" t="s">
        <v>37</v>
      </c>
      <c r="F663" t="s">
        <v>38</v>
      </c>
      <c r="G663" t="s">
        <v>39</v>
      </c>
      <c r="H663">
        <v>2023</v>
      </c>
      <c r="I663" t="s">
        <v>271</v>
      </c>
      <c r="J663"/>
      <c r="K663"/>
      <c r="L663"/>
      <c r="M663">
        <v>2023</v>
      </c>
      <c r="N663"/>
      <c r="O663" t="s">
        <v>45</v>
      </c>
      <c r="P663"/>
      <c r="Q663" t="s">
        <v>1501</v>
      </c>
      <c r="R663" s="126" t="s">
        <v>953</v>
      </c>
      <c r="S663" s="126">
        <v>26017</v>
      </c>
    </row>
    <row r="664" spans="1:19" s="7" customFormat="1" x14ac:dyDescent="0.3">
      <c r="A664" t="s">
        <v>93</v>
      </c>
      <c r="B664"/>
      <c r="C664" s="132" t="s">
        <v>946</v>
      </c>
      <c r="D664" t="s">
        <v>36</v>
      </c>
      <c r="E664" t="s">
        <v>37</v>
      </c>
      <c r="F664" t="s">
        <v>38</v>
      </c>
      <c r="G664" t="s">
        <v>39</v>
      </c>
      <c r="H664">
        <v>2023</v>
      </c>
      <c r="I664" t="s">
        <v>271</v>
      </c>
      <c r="J664"/>
      <c r="K664"/>
      <c r="L664"/>
      <c r="M664">
        <v>2023</v>
      </c>
      <c r="N664"/>
      <c r="O664" t="s">
        <v>45</v>
      </c>
      <c r="P664"/>
      <c r="Q664" t="s">
        <v>1501</v>
      </c>
      <c r="R664" s="126" t="s">
        <v>954</v>
      </c>
      <c r="S664" s="126">
        <v>26507</v>
      </c>
    </row>
    <row r="665" spans="1:19" s="7" customFormat="1" x14ac:dyDescent="0.3">
      <c r="A665" t="s">
        <v>93</v>
      </c>
      <c r="B665"/>
      <c r="C665" s="132" t="s">
        <v>946</v>
      </c>
      <c r="D665" t="s">
        <v>36</v>
      </c>
      <c r="E665" t="s">
        <v>37</v>
      </c>
      <c r="F665" t="s">
        <v>38</v>
      </c>
      <c r="G665" t="s">
        <v>39</v>
      </c>
      <c r="H665">
        <v>2023</v>
      </c>
      <c r="I665" t="s">
        <v>271</v>
      </c>
      <c r="J665"/>
      <c r="K665"/>
      <c r="L665"/>
      <c r="M665">
        <v>2023</v>
      </c>
      <c r="N665"/>
      <c r="O665" t="s">
        <v>45</v>
      </c>
      <c r="P665"/>
      <c r="Q665" t="s">
        <v>1502</v>
      </c>
      <c r="R665" s="127" t="s">
        <v>955</v>
      </c>
      <c r="S665" s="68">
        <f>S659+S661+S663</f>
        <v>28093</v>
      </c>
    </row>
    <row r="666" spans="1:19" s="7" customFormat="1" x14ac:dyDescent="0.3">
      <c r="A666" t="s">
        <v>93</v>
      </c>
      <c r="B666"/>
      <c r="C666" s="132" t="s">
        <v>946</v>
      </c>
      <c r="D666" t="s">
        <v>36</v>
      </c>
      <c r="E666" t="s">
        <v>37</v>
      </c>
      <c r="F666" t="s">
        <v>38</v>
      </c>
      <c r="G666" t="s">
        <v>39</v>
      </c>
      <c r="H666">
        <v>2023</v>
      </c>
      <c r="I666" t="s">
        <v>271</v>
      </c>
      <c r="J666"/>
      <c r="K666"/>
      <c r="L666"/>
      <c r="M666">
        <v>2023</v>
      </c>
      <c r="N666"/>
      <c r="O666" t="s">
        <v>45</v>
      </c>
      <c r="P666"/>
      <c r="Q666" t="s">
        <v>1503</v>
      </c>
      <c r="R666" s="127" t="s">
        <v>956</v>
      </c>
      <c r="S666" s="68">
        <f>S660+S662+S664</f>
        <v>31578</v>
      </c>
    </row>
    <row r="667" spans="1:19" s="7" customFormat="1" x14ac:dyDescent="0.3">
      <c r="A667" t="s">
        <v>93</v>
      </c>
      <c r="B667"/>
      <c r="C667" s="132" t="s">
        <v>946</v>
      </c>
      <c r="D667" t="s">
        <v>36</v>
      </c>
      <c r="E667" t="s">
        <v>37</v>
      </c>
      <c r="F667" t="s">
        <v>38</v>
      </c>
      <c r="G667" t="s">
        <v>39</v>
      </c>
      <c r="H667">
        <v>2023</v>
      </c>
      <c r="I667" t="s">
        <v>271</v>
      </c>
      <c r="J667"/>
      <c r="K667"/>
      <c r="L667"/>
      <c r="M667">
        <v>2023</v>
      </c>
      <c r="N667"/>
      <c r="O667" t="s">
        <v>45</v>
      </c>
      <c r="P667"/>
      <c r="Q667" t="s">
        <v>1504</v>
      </c>
      <c r="R667" s="126" t="s">
        <v>957</v>
      </c>
      <c r="S667" s="126">
        <v>4745167</v>
      </c>
    </row>
    <row r="668" spans="1:19" s="7" customFormat="1" x14ac:dyDescent="0.3">
      <c r="A668" t="s">
        <v>93</v>
      </c>
      <c r="B668"/>
      <c r="C668" s="132" t="s">
        <v>946</v>
      </c>
      <c r="D668" t="s">
        <v>36</v>
      </c>
      <c r="E668" t="s">
        <v>37</v>
      </c>
      <c r="F668" t="s">
        <v>38</v>
      </c>
      <c r="G668" t="s">
        <v>39</v>
      </c>
      <c r="H668">
        <v>2023</v>
      </c>
      <c r="I668" t="s">
        <v>271</v>
      </c>
      <c r="J668"/>
      <c r="K668"/>
      <c r="L668"/>
      <c r="M668">
        <v>2023</v>
      </c>
      <c r="N668"/>
      <c r="O668" t="s">
        <v>45</v>
      </c>
      <c r="P668"/>
      <c r="Q668" t="s">
        <v>1504</v>
      </c>
      <c r="R668" s="126" t="s">
        <v>958</v>
      </c>
      <c r="S668" s="126">
        <v>4750691</v>
      </c>
    </row>
    <row r="669" spans="1:19" s="7" customFormat="1" x14ac:dyDescent="0.3">
      <c r="A669" t="s">
        <v>93</v>
      </c>
      <c r="B669"/>
      <c r="C669" s="132" t="s">
        <v>946</v>
      </c>
      <c r="D669" t="s">
        <v>36</v>
      </c>
      <c r="E669" t="s">
        <v>37</v>
      </c>
      <c r="F669" t="s">
        <v>38</v>
      </c>
      <c r="G669" t="s">
        <v>39</v>
      </c>
      <c r="H669">
        <v>2023</v>
      </c>
      <c r="I669" t="s">
        <v>271</v>
      </c>
      <c r="J669"/>
      <c r="K669"/>
      <c r="L669"/>
      <c r="M669">
        <v>2023</v>
      </c>
      <c r="N669"/>
      <c r="O669" t="s">
        <v>45</v>
      </c>
      <c r="P669"/>
      <c r="Q669" t="s">
        <v>1505</v>
      </c>
      <c r="R669" s="126" t="s">
        <v>959</v>
      </c>
      <c r="S669" s="126">
        <v>21815</v>
      </c>
    </row>
    <row r="670" spans="1:19" s="7" customFormat="1" x14ac:dyDescent="0.3">
      <c r="A670" t="s">
        <v>93</v>
      </c>
      <c r="B670"/>
      <c r="C670" s="132" t="s">
        <v>946</v>
      </c>
      <c r="D670" t="s">
        <v>36</v>
      </c>
      <c r="E670" t="s">
        <v>37</v>
      </c>
      <c r="F670" t="s">
        <v>38</v>
      </c>
      <c r="G670" t="s">
        <v>39</v>
      </c>
      <c r="H670">
        <v>2023</v>
      </c>
      <c r="I670" t="s">
        <v>271</v>
      </c>
      <c r="J670"/>
      <c r="K670"/>
      <c r="L670"/>
      <c r="M670">
        <v>2023</v>
      </c>
      <c r="N670"/>
      <c r="O670" t="s">
        <v>45</v>
      </c>
      <c r="P670"/>
      <c r="Q670" t="s">
        <v>1505</v>
      </c>
      <c r="R670" s="126" t="s">
        <v>960</v>
      </c>
      <c r="S670" s="126">
        <v>79299</v>
      </c>
    </row>
    <row r="671" spans="1:19" s="7" customFormat="1" x14ac:dyDescent="0.3">
      <c r="A671" t="s">
        <v>93</v>
      </c>
      <c r="B671"/>
      <c r="C671" s="132" t="s">
        <v>946</v>
      </c>
      <c r="D671" t="s">
        <v>36</v>
      </c>
      <c r="E671" t="s">
        <v>37</v>
      </c>
      <c r="F671" t="s">
        <v>38</v>
      </c>
      <c r="G671" t="s">
        <v>39</v>
      </c>
      <c r="H671">
        <v>2023</v>
      </c>
      <c r="I671" t="s">
        <v>271</v>
      </c>
      <c r="J671"/>
      <c r="K671"/>
      <c r="L671"/>
      <c r="M671">
        <v>2023</v>
      </c>
      <c r="N671"/>
      <c r="O671" t="s">
        <v>45</v>
      </c>
      <c r="P671"/>
      <c r="Q671" t="s">
        <v>1506</v>
      </c>
      <c r="R671" s="126" t="s">
        <v>961</v>
      </c>
      <c r="S671" s="126">
        <v>2643226</v>
      </c>
    </row>
    <row r="672" spans="1:19" s="7" customFormat="1" x14ac:dyDescent="0.3">
      <c r="A672" t="s">
        <v>93</v>
      </c>
      <c r="B672"/>
      <c r="C672" s="132" t="s">
        <v>946</v>
      </c>
      <c r="D672" t="s">
        <v>36</v>
      </c>
      <c r="E672" t="s">
        <v>37</v>
      </c>
      <c r="F672" t="s">
        <v>38</v>
      </c>
      <c r="G672" t="s">
        <v>39</v>
      </c>
      <c r="H672">
        <v>2023</v>
      </c>
      <c r="I672" t="s">
        <v>271</v>
      </c>
      <c r="J672"/>
      <c r="K672"/>
      <c r="L672"/>
      <c r="M672">
        <v>2023</v>
      </c>
      <c r="N672"/>
      <c r="O672" t="s">
        <v>45</v>
      </c>
      <c r="P672"/>
      <c r="Q672" t="s">
        <v>1506</v>
      </c>
      <c r="R672" s="126" t="s">
        <v>962</v>
      </c>
      <c r="S672" s="126">
        <v>2663888</v>
      </c>
    </row>
    <row r="673" spans="1:19" s="7" customFormat="1" x14ac:dyDescent="0.3">
      <c r="A673" t="s">
        <v>93</v>
      </c>
      <c r="B673"/>
      <c r="C673" s="132" t="s">
        <v>946</v>
      </c>
      <c r="D673" t="s">
        <v>36</v>
      </c>
      <c r="E673" t="s">
        <v>37</v>
      </c>
      <c r="F673" t="s">
        <v>38</v>
      </c>
      <c r="G673" t="s">
        <v>39</v>
      </c>
      <c r="H673">
        <v>2023</v>
      </c>
      <c r="I673" t="s">
        <v>271</v>
      </c>
      <c r="J673"/>
      <c r="K673"/>
      <c r="L673"/>
      <c r="M673">
        <v>2023</v>
      </c>
      <c r="N673"/>
      <c r="O673" t="s">
        <v>45</v>
      </c>
      <c r="P673"/>
      <c r="Q673" t="s">
        <v>1507</v>
      </c>
      <c r="R673" s="127" t="s">
        <v>963</v>
      </c>
      <c r="S673" s="68">
        <f>S667+S669-S671</f>
        <v>2123756</v>
      </c>
    </row>
    <row r="674" spans="1:19" s="7" customFormat="1" x14ac:dyDescent="0.3">
      <c r="A674" t="s">
        <v>93</v>
      </c>
      <c r="B674"/>
      <c r="C674" s="132" t="s">
        <v>946</v>
      </c>
      <c r="D674" t="s">
        <v>36</v>
      </c>
      <c r="E674" t="s">
        <v>37</v>
      </c>
      <c r="F674" t="s">
        <v>38</v>
      </c>
      <c r="G674" t="s">
        <v>39</v>
      </c>
      <c r="H674">
        <v>2023</v>
      </c>
      <c r="I674" t="s">
        <v>271</v>
      </c>
      <c r="J674"/>
      <c r="K674"/>
      <c r="L674"/>
      <c r="M674">
        <v>2023</v>
      </c>
      <c r="N674"/>
      <c r="O674" t="s">
        <v>45</v>
      </c>
      <c r="P674"/>
      <c r="Q674" t="s">
        <v>1507</v>
      </c>
      <c r="R674" s="127" t="s">
        <v>964</v>
      </c>
      <c r="S674" s="68">
        <f>S668+S670-S672</f>
        <v>2166102</v>
      </c>
    </row>
    <row r="675" spans="1:19" s="7" customFormat="1" x14ac:dyDescent="0.3">
      <c r="A675" t="s">
        <v>93</v>
      </c>
      <c r="B675"/>
      <c r="C675" s="132" t="s">
        <v>946</v>
      </c>
      <c r="D675" t="s">
        <v>36</v>
      </c>
      <c r="E675" t="s">
        <v>37</v>
      </c>
      <c r="F675" t="s">
        <v>38</v>
      </c>
      <c r="G675" t="s">
        <v>39</v>
      </c>
      <c r="H675">
        <v>2023</v>
      </c>
      <c r="I675" t="s">
        <v>271</v>
      </c>
      <c r="J675"/>
      <c r="K675"/>
      <c r="L675"/>
      <c r="M675">
        <v>2023</v>
      </c>
      <c r="N675"/>
      <c r="O675" t="s">
        <v>45</v>
      </c>
      <c r="P675"/>
      <c r="Q675"/>
      <c r="R675" s="131" t="s">
        <v>965</v>
      </c>
      <c r="S675" s="7">
        <f>S663+S659+S661+S657</f>
        <v>28093.129000000001</v>
      </c>
    </row>
    <row r="676" spans="1:19" s="7" customFormat="1" x14ac:dyDescent="0.3">
      <c r="A676" t="s">
        <v>93</v>
      </c>
      <c r="B676"/>
      <c r="C676" s="132" t="s">
        <v>946</v>
      </c>
      <c r="D676" t="s">
        <v>36</v>
      </c>
      <c r="E676" t="s">
        <v>37</v>
      </c>
      <c r="F676" t="s">
        <v>38</v>
      </c>
      <c r="G676" t="s">
        <v>39</v>
      </c>
      <c r="H676">
        <v>2023</v>
      </c>
      <c r="I676" t="s">
        <v>271</v>
      </c>
      <c r="J676"/>
      <c r="K676"/>
      <c r="L676"/>
      <c r="M676">
        <v>2023</v>
      </c>
      <c r="N676"/>
      <c r="O676" t="s">
        <v>45</v>
      </c>
      <c r="P676"/>
      <c r="Q676"/>
      <c r="R676" s="131" t="s">
        <v>966</v>
      </c>
      <c r="S676" s="7">
        <f>S664+S660+S662+S658</f>
        <v>31578.227999999999</v>
      </c>
    </row>
    <row r="677" spans="1:19" s="7" customFormat="1" x14ac:dyDescent="0.3">
      <c r="A677" t="s">
        <v>93</v>
      </c>
      <c r="B677"/>
      <c r="C677" s="132" t="s">
        <v>946</v>
      </c>
      <c r="D677" t="s">
        <v>36</v>
      </c>
      <c r="E677" t="s">
        <v>37</v>
      </c>
      <c r="F677" t="s">
        <v>38</v>
      </c>
      <c r="G677" t="s">
        <v>39</v>
      </c>
      <c r="H677">
        <v>2023</v>
      </c>
      <c r="I677" t="s">
        <v>271</v>
      </c>
      <c r="J677"/>
      <c r="K677"/>
      <c r="L677"/>
      <c r="M677">
        <v>2023</v>
      </c>
      <c r="N677"/>
      <c r="O677" t="s">
        <v>45</v>
      </c>
      <c r="P677"/>
      <c r="Q677"/>
      <c r="R677" s="131" t="s">
        <v>967</v>
      </c>
      <c r="S677" s="7">
        <f>S667+S669-S671</f>
        <v>2123756</v>
      </c>
    </row>
    <row r="678" spans="1:19" s="7" customFormat="1" x14ac:dyDescent="0.3">
      <c r="A678" t="s">
        <v>93</v>
      </c>
      <c r="B678"/>
      <c r="C678" s="132" t="s">
        <v>946</v>
      </c>
      <c r="D678" t="s">
        <v>36</v>
      </c>
      <c r="E678" t="s">
        <v>37</v>
      </c>
      <c r="F678" t="s">
        <v>38</v>
      </c>
      <c r="G678" t="s">
        <v>39</v>
      </c>
      <c r="H678">
        <v>2023</v>
      </c>
      <c r="I678" t="s">
        <v>271</v>
      </c>
      <c r="J678"/>
      <c r="K678"/>
      <c r="L678"/>
      <c r="M678">
        <v>2023</v>
      </c>
      <c r="N678"/>
      <c r="O678" t="s">
        <v>45</v>
      </c>
      <c r="P678"/>
      <c r="Q678"/>
      <c r="R678" s="7" t="s">
        <v>968</v>
      </c>
      <c r="S678" s="7">
        <f>S668+S670-S672</f>
        <v>2166102</v>
      </c>
    </row>
    <row r="679" spans="1:19" s="7" customFormat="1" x14ac:dyDescent="0.3">
      <c r="A679" t="s">
        <v>93</v>
      </c>
      <c r="B679"/>
      <c r="C679" s="132" t="s">
        <v>946</v>
      </c>
      <c r="D679" t="s">
        <v>36</v>
      </c>
      <c r="E679" t="s">
        <v>37</v>
      </c>
      <c r="F679" t="s">
        <v>38</v>
      </c>
      <c r="G679" t="s">
        <v>39</v>
      </c>
      <c r="H679">
        <v>2023</v>
      </c>
      <c r="I679" t="s">
        <v>271</v>
      </c>
      <c r="J679"/>
      <c r="K679"/>
      <c r="L679"/>
      <c r="M679">
        <v>2023</v>
      </c>
      <c r="N679"/>
      <c r="O679" t="s">
        <v>45</v>
      </c>
      <c r="P679"/>
      <c r="Q679"/>
      <c r="R679" s="68" t="s">
        <v>969</v>
      </c>
      <c r="S679" s="127">
        <f>S675/S677</f>
        <v>1.3228039850152277E-2</v>
      </c>
    </row>
    <row r="680" spans="1:19" s="7" customFormat="1" x14ac:dyDescent="0.3">
      <c r="A680" t="s">
        <v>93</v>
      </c>
      <c r="B680"/>
      <c r="C680" s="132" t="s">
        <v>946</v>
      </c>
      <c r="D680" t="s">
        <v>36</v>
      </c>
      <c r="E680" t="s">
        <v>37</v>
      </c>
      <c r="F680" t="s">
        <v>38</v>
      </c>
      <c r="G680" t="s">
        <v>39</v>
      </c>
      <c r="H680">
        <v>2023</v>
      </c>
      <c r="I680" t="s">
        <v>271</v>
      </c>
      <c r="J680"/>
      <c r="K680"/>
      <c r="L680"/>
      <c r="M680">
        <v>2023</v>
      </c>
      <c r="N680"/>
      <c r="O680" t="s">
        <v>45</v>
      </c>
      <c r="P680"/>
      <c r="Q680"/>
      <c r="R680" s="68" t="s">
        <v>970</v>
      </c>
      <c r="S680" s="127">
        <f>S676/S678</f>
        <v>1.4578366115723083E-2</v>
      </c>
    </row>
    <row r="681" spans="1:19" s="7" customFormat="1" x14ac:dyDescent="0.3">
      <c r="A681" t="s">
        <v>93</v>
      </c>
      <c r="B681"/>
      <c r="C681" t="s">
        <v>94</v>
      </c>
      <c r="D681" t="s">
        <v>36</v>
      </c>
      <c r="E681" t="s">
        <v>37</v>
      </c>
      <c r="F681" t="s">
        <v>38</v>
      </c>
      <c r="G681" t="s">
        <v>39</v>
      </c>
      <c r="H681">
        <v>2023</v>
      </c>
      <c r="I681" t="s">
        <v>271</v>
      </c>
      <c r="J681"/>
      <c r="K681"/>
      <c r="L681"/>
      <c r="M681">
        <v>2023</v>
      </c>
      <c r="N681"/>
      <c r="O681" t="s">
        <v>45</v>
      </c>
      <c r="P681" t="s">
        <v>47</v>
      </c>
      <c r="Q681" t="s">
        <v>1508</v>
      </c>
      <c r="R681" t="s">
        <v>95</v>
      </c>
      <c r="S681">
        <v>776.08</v>
      </c>
    </row>
    <row r="682" spans="1:19" s="7" customFormat="1" x14ac:dyDescent="0.3">
      <c r="A682" t="s">
        <v>93</v>
      </c>
      <c r="B682"/>
      <c r="C682" t="s">
        <v>94</v>
      </c>
      <c r="D682" t="s">
        <v>36</v>
      </c>
      <c r="E682" t="s">
        <v>37</v>
      </c>
      <c r="F682" t="s">
        <v>38</v>
      </c>
      <c r="G682" t="s">
        <v>39</v>
      </c>
      <c r="H682">
        <v>2023</v>
      </c>
      <c r="I682" t="s">
        <v>271</v>
      </c>
      <c r="J682"/>
      <c r="K682"/>
      <c r="L682"/>
      <c r="M682">
        <v>2023</v>
      </c>
      <c r="N682"/>
      <c r="O682" t="s">
        <v>45</v>
      </c>
      <c r="P682" t="s">
        <v>47</v>
      </c>
      <c r="Q682" t="s">
        <v>1509</v>
      </c>
      <c r="R682" t="s">
        <v>96</v>
      </c>
      <c r="S682">
        <v>74.3</v>
      </c>
    </row>
    <row r="683" spans="1:19" s="7" customFormat="1" x14ac:dyDescent="0.3">
      <c r="A683" t="s">
        <v>93</v>
      </c>
      <c r="B683"/>
      <c r="C683" t="s">
        <v>94</v>
      </c>
      <c r="D683" t="s">
        <v>36</v>
      </c>
      <c r="E683" t="s">
        <v>37</v>
      </c>
      <c r="F683" t="s">
        <v>38</v>
      </c>
      <c r="G683" t="s">
        <v>39</v>
      </c>
      <c r="H683">
        <v>2023</v>
      </c>
      <c r="I683" t="s">
        <v>271</v>
      </c>
      <c r="J683"/>
      <c r="K683"/>
      <c r="L683"/>
      <c r="M683">
        <v>2023</v>
      </c>
      <c r="N683"/>
      <c r="O683" t="s">
        <v>45</v>
      </c>
      <c r="P683" t="s">
        <v>47</v>
      </c>
      <c r="Q683" t="s">
        <v>1509</v>
      </c>
      <c r="R683" t="s">
        <v>97</v>
      </c>
      <c r="S683">
        <v>502.6</v>
      </c>
    </row>
    <row r="684" spans="1:19" s="7" customFormat="1" x14ac:dyDescent="0.3">
      <c r="A684" t="s">
        <v>93</v>
      </c>
      <c r="B684"/>
      <c r="C684" t="s">
        <v>94</v>
      </c>
      <c r="D684" t="s">
        <v>36</v>
      </c>
      <c r="E684" t="s">
        <v>37</v>
      </c>
      <c r="F684" t="s">
        <v>38</v>
      </c>
      <c r="G684" t="s">
        <v>39</v>
      </c>
      <c r="H684">
        <v>2023</v>
      </c>
      <c r="I684" t="s">
        <v>271</v>
      </c>
      <c r="J684"/>
      <c r="K684"/>
      <c r="L684"/>
      <c r="M684">
        <v>2023</v>
      </c>
      <c r="N684"/>
      <c r="O684" t="s">
        <v>45</v>
      </c>
      <c r="P684" t="s">
        <v>47</v>
      </c>
      <c r="Q684" t="s">
        <v>1510</v>
      </c>
      <c r="R684" t="s">
        <v>98</v>
      </c>
      <c r="S684">
        <v>0.03</v>
      </c>
    </row>
    <row r="685" spans="1:19" s="7" customFormat="1" x14ac:dyDescent="0.3">
      <c r="A685" t="s">
        <v>93</v>
      </c>
      <c r="B685"/>
      <c r="C685" t="s">
        <v>94</v>
      </c>
      <c r="D685" t="s">
        <v>36</v>
      </c>
      <c r="E685" t="s">
        <v>37</v>
      </c>
      <c r="F685" t="s">
        <v>38</v>
      </c>
      <c r="G685" t="s">
        <v>39</v>
      </c>
      <c r="H685">
        <v>2023</v>
      </c>
      <c r="I685" t="s">
        <v>271</v>
      </c>
      <c r="J685"/>
      <c r="K685"/>
      <c r="L685"/>
      <c r="M685">
        <v>2023</v>
      </c>
      <c r="N685"/>
      <c r="O685" t="s">
        <v>45</v>
      </c>
      <c r="P685" t="s">
        <v>47</v>
      </c>
      <c r="Q685"/>
      <c r="R685" t="s">
        <v>99</v>
      </c>
      <c r="S685">
        <f>SUM(S681:S684)</f>
        <v>1353.01</v>
      </c>
    </row>
    <row r="686" spans="1:19" s="7" customFormat="1" x14ac:dyDescent="0.3">
      <c r="A686" t="s">
        <v>93</v>
      </c>
      <c r="B686"/>
      <c r="C686" t="s">
        <v>94</v>
      </c>
      <c r="D686" t="s">
        <v>36</v>
      </c>
      <c r="E686" t="s">
        <v>37</v>
      </c>
      <c r="F686" t="s">
        <v>38</v>
      </c>
      <c r="G686" t="s">
        <v>39</v>
      </c>
      <c r="H686">
        <v>2023</v>
      </c>
      <c r="I686" t="s">
        <v>271</v>
      </c>
      <c r="J686"/>
      <c r="K686"/>
      <c r="L686"/>
      <c r="M686">
        <v>2023</v>
      </c>
      <c r="N686"/>
      <c r="O686" t="s">
        <v>45</v>
      </c>
      <c r="P686"/>
      <c r="Q686" t="s">
        <v>1279</v>
      </c>
      <c r="R686" t="s">
        <v>100</v>
      </c>
      <c r="S686">
        <v>76908.45</v>
      </c>
    </row>
    <row r="687" spans="1:19" s="7" customFormat="1" x14ac:dyDescent="0.3">
      <c r="A687" t="s">
        <v>93</v>
      </c>
      <c r="B687"/>
      <c r="C687" t="s">
        <v>94</v>
      </c>
      <c r="D687" t="s">
        <v>36</v>
      </c>
      <c r="E687" t="s">
        <v>37</v>
      </c>
      <c r="F687" t="s">
        <v>38</v>
      </c>
      <c r="G687" t="s">
        <v>39</v>
      </c>
      <c r="H687">
        <v>2023</v>
      </c>
      <c r="I687" t="s">
        <v>271</v>
      </c>
      <c r="J687"/>
      <c r="K687"/>
      <c r="L687"/>
      <c r="M687">
        <v>2023</v>
      </c>
      <c r="N687"/>
      <c r="O687" t="s">
        <v>45</v>
      </c>
      <c r="P687" t="s">
        <v>47</v>
      </c>
      <c r="Q687" t="s">
        <v>1508</v>
      </c>
      <c r="R687" t="s">
        <v>101</v>
      </c>
      <c r="S687">
        <v>824.63</v>
      </c>
    </row>
    <row r="688" spans="1:19" s="7" customFormat="1" x14ac:dyDescent="0.3">
      <c r="A688" t="s">
        <v>93</v>
      </c>
      <c r="B688"/>
      <c r="C688" t="s">
        <v>94</v>
      </c>
      <c r="D688" t="s">
        <v>36</v>
      </c>
      <c r="E688" t="s">
        <v>37</v>
      </c>
      <c r="F688" t="s">
        <v>38</v>
      </c>
      <c r="G688" t="s">
        <v>39</v>
      </c>
      <c r="H688">
        <v>2023</v>
      </c>
      <c r="I688" t="s">
        <v>271</v>
      </c>
      <c r="J688"/>
      <c r="K688"/>
      <c r="L688"/>
      <c r="M688">
        <v>2023</v>
      </c>
      <c r="N688"/>
      <c r="O688" t="s">
        <v>45</v>
      </c>
      <c r="P688" t="s">
        <v>47</v>
      </c>
      <c r="Q688" t="s">
        <v>1509</v>
      </c>
      <c r="R688" t="s">
        <v>102</v>
      </c>
      <c r="S688">
        <v>203.34</v>
      </c>
    </row>
    <row r="689" spans="1:20" s="7" customFormat="1" x14ac:dyDescent="0.3">
      <c r="A689" t="s">
        <v>93</v>
      </c>
      <c r="B689"/>
      <c r="C689" t="s">
        <v>94</v>
      </c>
      <c r="D689" t="s">
        <v>36</v>
      </c>
      <c r="E689" t="s">
        <v>37</v>
      </c>
      <c r="F689" t="s">
        <v>38</v>
      </c>
      <c r="G689" t="s">
        <v>39</v>
      </c>
      <c r="H689">
        <v>2023</v>
      </c>
      <c r="I689" t="s">
        <v>271</v>
      </c>
      <c r="J689"/>
      <c r="K689"/>
      <c r="L689"/>
      <c r="M689">
        <v>2023</v>
      </c>
      <c r="N689"/>
      <c r="O689" t="s">
        <v>45</v>
      </c>
      <c r="P689" t="s">
        <v>47</v>
      </c>
      <c r="Q689" t="s">
        <v>1509</v>
      </c>
      <c r="R689" t="s">
        <v>103</v>
      </c>
      <c r="S689">
        <v>1205.3599999999999</v>
      </c>
    </row>
    <row r="690" spans="1:20" s="7" customFormat="1" x14ac:dyDescent="0.3">
      <c r="A690" t="s">
        <v>93</v>
      </c>
      <c r="B690"/>
      <c r="C690" t="s">
        <v>94</v>
      </c>
      <c r="D690" t="s">
        <v>36</v>
      </c>
      <c r="E690" t="s">
        <v>37</v>
      </c>
      <c r="F690" t="s">
        <v>38</v>
      </c>
      <c r="G690" t="s">
        <v>39</v>
      </c>
      <c r="H690">
        <v>2023</v>
      </c>
      <c r="I690" t="s">
        <v>271</v>
      </c>
      <c r="J690"/>
      <c r="K690"/>
      <c r="L690"/>
      <c r="M690">
        <v>2023</v>
      </c>
      <c r="N690"/>
      <c r="O690" t="s">
        <v>45</v>
      </c>
      <c r="P690" t="s">
        <v>47</v>
      </c>
      <c r="Q690" t="s">
        <v>1510</v>
      </c>
      <c r="R690" t="s">
        <v>104</v>
      </c>
      <c r="S690">
        <v>0.06</v>
      </c>
    </row>
    <row r="691" spans="1:20" s="7" customFormat="1" x14ac:dyDescent="0.3">
      <c r="A691" t="s">
        <v>93</v>
      </c>
      <c r="B691"/>
      <c r="C691" t="s">
        <v>94</v>
      </c>
      <c r="D691" t="s">
        <v>36</v>
      </c>
      <c r="E691" t="s">
        <v>37</v>
      </c>
      <c r="F691" t="s">
        <v>38</v>
      </c>
      <c r="G691" t="s">
        <v>39</v>
      </c>
      <c r="H691">
        <v>2023</v>
      </c>
      <c r="I691" t="s">
        <v>271</v>
      </c>
      <c r="J691"/>
      <c r="K691"/>
      <c r="L691"/>
      <c r="M691">
        <v>2023</v>
      </c>
      <c r="N691"/>
      <c r="O691" t="s">
        <v>45</v>
      </c>
      <c r="P691" t="s">
        <v>47</v>
      </c>
      <c r="Q691"/>
      <c r="R691" t="s">
        <v>105</v>
      </c>
      <c r="S691">
        <f>SUM(S687:S690)</f>
        <v>2233.39</v>
      </c>
    </row>
    <row r="692" spans="1:20" s="7" customFormat="1" x14ac:dyDescent="0.3">
      <c r="A692" t="s">
        <v>93</v>
      </c>
      <c r="B692"/>
      <c r="C692" t="s">
        <v>94</v>
      </c>
      <c r="D692" t="s">
        <v>36</v>
      </c>
      <c r="E692" t="s">
        <v>37</v>
      </c>
      <c r="F692" t="s">
        <v>38</v>
      </c>
      <c r="G692" t="s">
        <v>39</v>
      </c>
      <c r="H692">
        <v>2023</v>
      </c>
      <c r="I692" t="s">
        <v>271</v>
      </c>
      <c r="J692"/>
      <c r="K692"/>
      <c r="L692"/>
      <c r="M692">
        <v>2023</v>
      </c>
      <c r="N692"/>
      <c r="O692" t="s">
        <v>45</v>
      </c>
      <c r="P692" t="s">
        <v>47</v>
      </c>
      <c r="Q692" t="s">
        <v>1279</v>
      </c>
      <c r="R692" t="s">
        <v>106</v>
      </c>
      <c r="S692">
        <v>80684.240000000005</v>
      </c>
    </row>
    <row r="693" spans="1:20" s="7" customFormat="1" x14ac:dyDescent="0.3">
      <c r="A693" t="s">
        <v>93</v>
      </c>
      <c r="B693"/>
      <c r="C693" s="7" t="s">
        <v>974</v>
      </c>
      <c r="D693" t="s">
        <v>36</v>
      </c>
      <c r="E693" t="s">
        <v>37</v>
      </c>
      <c r="F693" t="s">
        <v>38</v>
      </c>
      <c r="G693" t="s">
        <v>39</v>
      </c>
      <c r="H693">
        <v>2023</v>
      </c>
      <c r="I693" t="s">
        <v>271</v>
      </c>
      <c r="L693"/>
      <c r="M693">
        <v>2023</v>
      </c>
      <c r="O693" t="s">
        <v>45</v>
      </c>
      <c r="P693" s="9"/>
      <c r="Q693" s="9"/>
      <c r="R693" s="7" t="s">
        <v>975</v>
      </c>
      <c r="S693">
        <v>5133845.54</v>
      </c>
      <c r="T693"/>
    </row>
    <row r="694" spans="1:20" x14ac:dyDescent="0.3">
      <c r="A694" t="s">
        <v>93</v>
      </c>
      <c r="C694" s="7" t="s">
        <v>974</v>
      </c>
      <c r="D694" t="s">
        <v>36</v>
      </c>
      <c r="E694" t="s">
        <v>37</v>
      </c>
      <c r="F694" t="s">
        <v>38</v>
      </c>
      <c r="G694" t="s">
        <v>39</v>
      </c>
      <c r="H694">
        <v>2023</v>
      </c>
      <c r="I694" t="s">
        <v>271</v>
      </c>
      <c r="M694">
        <v>2023</v>
      </c>
      <c r="O694" t="s">
        <v>45</v>
      </c>
      <c r="R694" s="7" t="s">
        <v>976</v>
      </c>
      <c r="S694" s="7">
        <v>12436284.369999999</v>
      </c>
      <c r="T694" s="7"/>
    </row>
    <row r="695" spans="1:20" x14ac:dyDescent="0.3">
      <c r="A695" t="s">
        <v>93</v>
      </c>
      <c r="C695" s="7" t="s">
        <v>978</v>
      </c>
      <c r="D695" t="s">
        <v>36</v>
      </c>
      <c r="E695" t="s">
        <v>37</v>
      </c>
      <c r="F695" t="s">
        <v>38</v>
      </c>
      <c r="G695" t="s">
        <v>39</v>
      </c>
      <c r="H695">
        <v>2023</v>
      </c>
      <c r="I695" t="s">
        <v>271</v>
      </c>
      <c r="M695">
        <v>2023</v>
      </c>
      <c r="O695" t="s">
        <v>45</v>
      </c>
      <c r="Q695" t="s">
        <v>1511</v>
      </c>
      <c r="R695" s="7" t="s">
        <v>980</v>
      </c>
      <c r="S695" s="7">
        <v>3234</v>
      </c>
      <c r="T695" s="30"/>
    </row>
    <row r="696" spans="1:20" x14ac:dyDescent="0.3">
      <c r="A696" t="s">
        <v>93</v>
      </c>
      <c r="C696" s="7" t="s">
        <v>978</v>
      </c>
      <c r="D696" t="s">
        <v>36</v>
      </c>
      <c r="E696" t="s">
        <v>37</v>
      </c>
      <c r="F696" t="s">
        <v>38</v>
      </c>
      <c r="G696" t="s">
        <v>39</v>
      </c>
      <c r="H696">
        <v>2023</v>
      </c>
      <c r="I696" t="s">
        <v>271</v>
      </c>
      <c r="M696">
        <v>2023</v>
      </c>
      <c r="O696" t="s">
        <v>45</v>
      </c>
      <c r="Q696" t="s">
        <v>1512</v>
      </c>
      <c r="R696" s="7" t="s">
        <v>979</v>
      </c>
      <c r="S696" s="7">
        <v>84</v>
      </c>
    </row>
    <row r="697" spans="1:20" x14ac:dyDescent="0.3">
      <c r="A697" t="s">
        <v>93</v>
      </c>
      <c r="C697" s="7" t="s">
        <v>978</v>
      </c>
      <c r="D697" t="s">
        <v>36</v>
      </c>
      <c r="E697" t="s">
        <v>37</v>
      </c>
      <c r="F697" t="s">
        <v>38</v>
      </c>
      <c r="G697" t="s">
        <v>39</v>
      </c>
      <c r="H697">
        <v>2023</v>
      </c>
      <c r="I697" t="s">
        <v>271</v>
      </c>
      <c r="M697">
        <v>2023</v>
      </c>
      <c r="O697" t="s">
        <v>45</v>
      </c>
      <c r="Q697" t="s">
        <v>1513</v>
      </c>
      <c r="R697" s="7" t="s">
        <v>981</v>
      </c>
      <c r="S697" s="7">
        <v>41958</v>
      </c>
    </row>
    <row r="698" spans="1:20" x14ac:dyDescent="0.3">
      <c r="A698" t="s">
        <v>93</v>
      </c>
      <c r="C698" s="7" t="s">
        <v>978</v>
      </c>
      <c r="D698" t="s">
        <v>36</v>
      </c>
      <c r="E698" t="s">
        <v>37</v>
      </c>
      <c r="F698" t="s">
        <v>38</v>
      </c>
      <c r="G698" t="s">
        <v>39</v>
      </c>
      <c r="H698">
        <v>2023</v>
      </c>
      <c r="I698" t="s">
        <v>271</v>
      </c>
      <c r="M698">
        <v>2023</v>
      </c>
      <c r="O698" t="s">
        <v>45</v>
      </c>
      <c r="Q698" t="s">
        <v>1514</v>
      </c>
      <c r="R698" s="7" t="s">
        <v>982</v>
      </c>
      <c r="S698">
        <v>999</v>
      </c>
    </row>
    <row r="699" spans="1:20" x14ac:dyDescent="0.3">
      <c r="A699" t="s">
        <v>93</v>
      </c>
      <c r="C699" s="7" t="s">
        <v>978</v>
      </c>
      <c r="D699" t="s">
        <v>36</v>
      </c>
      <c r="E699" t="s">
        <v>37</v>
      </c>
      <c r="F699" t="s">
        <v>38</v>
      </c>
      <c r="G699" t="s">
        <v>39</v>
      </c>
      <c r="H699">
        <v>2023</v>
      </c>
      <c r="I699" t="s">
        <v>271</v>
      </c>
      <c r="M699">
        <v>2023</v>
      </c>
      <c r="O699" t="s">
        <v>45</v>
      </c>
      <c r="R699" s="7" t="s">
        <v>983</v>
      </c>
      <c r="S699">
        <f>S695/S696</f>
        <v>38.5</v>
      </c>
    </row>
    <row r="700" spans="1:20" x14ac:dyDescent="0.3">
      <c r="A700" t="s">
        <v>93</v>
      </c>
      <c r="C700" s="7" t="s">
        <v>978</v>
      </c>
      <c r="D700" t="s">
        <v>36</v>
      </c>
      <c r="E700" t="s">
        <v>37</v>
      </c>
      <c r="F700" t="s">
        <v>38</v>
      </c>
      <c r="G700" t="s">
        <v>39</v>
      </c>
      <c r="H700">
        <v>2023</v>
      </c>
      <c r="I700" t="s">
        <v>271</v>
      </c>
      <c r="M700">
        <v>2023</v>
      </c>
      <c r="O700" t="s">
        <v>45</v>
      </c>
      <c r="R700" s="7" t="s">
        <v>984</v>
      </c>
      <c r="S700">
        <f>S697/S698</f>
        <v>42</v>
      </c>
    </row>
    <row r="701" spans="1:20" x14ac:dyDescent="0.3">
      <c r="A701" t="s">
        <v>175</v>
      </c>
      <c r="C701" s="7" t="s">
        <v>986</v>
      </c>
      <c r="D701" t="s">
        <v>36</v>
      </c>
      <c r="E701" t="s">
        <v>37</v>
      </c>
      <c r="F701" t="s">
        <v>38</v>
      </c>
      <c r="G701" t="s">
        <v>39</v>
      </c>
      <c r="H701">
        <v>2023</v>
      </c>
      <c r="I701" t="s">
        <v>271</v>
      </c>
      <c r="M701">
        <v>2023</v>
      </c>
      <c r="O701" t="s">
        <v>45</v>
      </c>
      <c r="Q701" t="s">
        <v>1515</v>
      </c>
      <c r="R701" s="7" t="s">
        <v>987</v>
      </c>
      <c r="S701" s="90">
        <v>18523570000000</v>
      </c>
    </row>
    <row r="702" spans="1:20" x14ac:dyDescent="0.3">
      <c r="A702" t="s">
        <v>175</v>
      </c>
      <c r="C702" s="7" t="s">
        <v>986</v>
      </c>
      <c r="D702" t="s">
        <v>36</v>
      </c>
      <c r="E702" t="s">
        <v>37</v>
      </c>
      <c r="F702" t="s">
        <v>38</v>
      </c>
      <c r="G702" t="s">
        <v>39</v>
      </c>
      <c r="H702">
        <v>2023</v>
      </c>
      <c r="I702" t="s">
        <v>271</v>
      </c>
      <c r="M702">
        <v>2023</v>
      </c>
      <c r="O702" t="s">
        <v>45</v>
      </c>
      <c r="Q702" t="s">
        <v>1516</v>
      </c>
      <c r="R702" s="7" t="s">
        <v>988</v>
      </c>
      <c r="S702" s="90">
        <v>15827156546419</v>
      </c>
    </row>
    <row r="703" spans="1:20" x14ac:dyDescent="0.3">
      <c r="A703" t="s">
        <v>175</v>
      </c>
      <c r="C703" s="8" t="s">
        <v>993</v>
      </c>
      <c r="D703" t="s">
        <v>36</v>
      </c>
      <c r="E703" t="s">
        <v>37</v>
      </c>
      <c r="F703" t="s">
        <v>38</v>
      </c>
      <c r="G703" t="s">
        <v>39</v>
      </c>
      <c r="H703">
        <v>2023</v>
      </c>
      <c r="I703" t="s">
        <v>271</v>
      </c>
      <c r="M703">
        <v>2023</v>
      </c>
      <c r="O703" t="s">
        <v>45</v>
      </c>
      <c r="Q703" t="s">
        <v>1517</v>
      </c>
      <c r="R703" s="7" t="s">
        <v>990</v>
      </c>
      <c r="S703" s="90">
        <v>829541322882</v>
      </c>
    </row>
    <row r="704" spans="1:20" x14ac:dyDescent="0.3">
      <c r="A704" t="s">
        <v>175</v>
      </c>
      <c r="C704" s="8" t="s">
        <v>993</v>
      </c>
      <c r="D704" t="s">
        <v>36</v>
      </c>
      <c r="E704" t="s">
        <v>37</v>
      </c>
      <c r="F704" t="s">
        <v>38</v>
      </c>
      <c r="G704" t="s">
        <v>39</v>
      </c>
      <c r="H704">
        <v>2023</v>
      </c>
      <c r="I704" t="s">
        <v>271</v>
      </c>
      <c r="M704">
        <v>2023</v>
      </c>
      <c r="O704" t="s">
        <v>45</v>
      </c>
      <c r="Q704" t="s">
        <v>1518</v>
      </c>
      <c r="R704" t="s">
        <v>991</v>
      </c>
      <c r="S704" s="90">
        <v>842004728269.48999</v>
      </c>
    </row>
    <row r="705" spans="1:19" x14ac:dyDescent="0.3">
      <c r="A705" t="s">
        <v>175</v>
      </c>
      <c r="C705" t="s">
        <v>994</v>
      </c>
      <c r="D705" t="s">
        <v>36</v>
      </c>
      <c r="E705" t="s">
        <v>37</v>
      </c>
      <c r="F705" t="s">
        <v>38</v>
      </c>
      <c r="G705" t="s">
        <v>39</v>
      </c>
      <c r="H705">
        <v>2023</v>
      </c>
      <c r="I705" t="s">
        <v>271</v>
      </c>
      <c r="M705">
        <v>2023</v>
      </c>
      <c r="O705" t="s">
        <v>45</v>
      </c>
      <c r="Q705" t="s">
        <v>1519</v>
      </c>
      <c r="R705" t="s">
        <v>995</v>
      </c>
      <c r="S705" s="105">
        <v>864</v>
      </c>
    </row>
    <row r="706" spans="1:19" x14ac:dyDescent="0.3">
      <c r="A706" t="s">
        <v>175</v>
      </c>
      <c r="C706" t="s">
        <v>994</v>
      </c>
      <c r="D706" t="s">
        <v>36</v>
      </c>
      <c r="E706" t="s">
        <v>37</v>
      </c>
      <c r="F706" t="s">
        <v>38</v>
      </c>
      <c r="G706" t="s">
        <v>39</v>
      </c>
      <c r="H706">
        <v>2023</v>
      </c>
      <c r="I706" t="s">
        <v>271</v>
      </c>
      <c r="M706">
        <v>2023</v>
      </c>
      <c r="O706" t="s">
        <v>45</v>
      </c>
      <c r="Q706" t="s">
        <v>1519</v>
      </c>
      <c r="R706" t="s">
        <v>996</v>
      </c>
      <c r="S706" s="105">
        <v>302</v>
      </c>
    </row>
    <row r="707" spans="1:19" x14ac:dyDescent="0.3">
      <c r="A707" t="s">
        <v>175</v>
      </c>
      <c r="C707" t="s">
        <v>998</v>
      </c>
      <c r="D707" t="s">
        <v>36</v>
      </c>
      <c r="E707" t="s">
        <v>37</v>
      </c>
      <c r="F707" t="s">
        <v>38</v>
      </c>
      <c r="G707" t="s">
        <v>39</v>
      </c>
      <c r="H707">
        <v>2023</v>
      </c>
      <c r="I707" t="s">
        <v>271</v>
      </c>
      <c r="M707">
        <v>2023</v>
      </c>
      <c r="O707" t="s">
        <v>45</v>
      </c>
      <c r="R707" t="s">
        <v>999</v>
      </c>
      <c r="S707" s="105">
        <v>89.489000000000004</v>
      </c>
    </row>
    <row r="708" spans="1:19" x14ac:dyDescent="0.3">
      <c r="A708" t="s">
        <v>175</v>
      </c>
      <c r="C708" t="s">
        <v>998</v>
      </c>
      <c r="D708" t="s">
        <v>36</v>
      </c>
      <c r="E708" t="s">
        <v>37</v>
      </c>
      <c r="F708" t="s">
        <v>38</v>
      </c>
      <c r="G708" t="s">
        <v>39</v>
      </c>
      <c r="H708">
        <v>2023</v>
      </c>
      <c r="I708" t="s">
        <v>271</v>
      </c>
      <c r="M708">
        <v>2023</v>
      </c>
      <c r="O708" t="s">
        <v>45</v>
      </c>
      <c r="Q708" t="s">
        <v>1520</v>
      </c>
      <c r="R708" t="s">
        <v>1000</v>
      </c>
      <c r="S708">
        <v>1429.92</v>
      </c>
    </row>
    <row r="709" spans="1:19" x14ac:dyDescent="0.3">
      <c r="A709" t="s">
        <v>175</v>
      </c>
      <c r="C709" t="s">
        <v>1002</v>
      </c>
      <c r="D709" t="s">
        <v>36</v>
      </c>
      <c r="E709" t="s">
        <v>37</v>
      </c>
      <c r="F709" t="s">
        <v>38</v>
      </c>
      <c r="G709" t="s">
        <v>39</v>
      </c>
      <c r="H709">
        <v>2023</v>
      </c>
      <c r="I709" t="s">
        <v>271</v>
      </c>
      <c r="M709">
        <v>2023</v>
      </c>
      <c r="O709" t="s">
        <v>45</v>
      </c>
      <c r="Q709" t="s">
        <v>1521</v>
      </c>
      <c r="R709" t="s">
        <v>1003</v>
      </c>
      <c r="S709">
        <v>26139.417000000001</v>
      </c>
    </row>
    <row r="710" spans="1:19" x14ac:dyDescent="0.3">
      <c r="A710" t="s">
        <v>175</v>
      </c>
      <c r="C710" t="s">
        <v>1002</v>
      </c>
      <c r="D710" t="s">
        <v>36</v>
      </c>
      <c r="E710" t="s">
        <v>37</v>
      </c>
      <c r="F710" t="s">
        <v>38</v>
      </c>
      <c r="G710" t="s">
        <v>39</v>
      </c>
      <c r="H710">
        <v>2023</v>
      </c>
      <c r="I710" t="s">
        <v>271</v>
      </c>
      <c r="M710">
        <v>2023</v>
      </c>
      <c r="O710" t="s">
        <v>45</v>
      </c>
      <c r="Q710" t="s">
        <v>1521</v>
      </c>
      <c r="R710" t="s">
        <v>1004</v>
      </c>
      <c r="S710">
        <v>49769.125999999997</v>
      </c>
    </row>
    <row r="711" spans="1:19" x14ac:dyDescent="0.3">
      <c r="A711" t="s">
        <v>181</v>
      </c>
      <c r="C711" t="s">
        <v>1006</v>
      </c>
      <c r="D711" t="s">
        <v>36</v>
      </c>
      <c r="E711" t="s">
        <v>37</v>
      </c>
      <c r="F711" t="s">
        <v>38</v>
      </c>
      <c r="G711" t="s">
        <v>39</v>
      </c>
      <c r="H711">
        <v>2023</v>
      </c>
      <c r="I711" t="s">
        <v>271</v>
      </c>
      <c r="M711">
        <v>2023</v>
      </c>
      <c r="O711" t="s">
        <v>45</v>
      </c>
      <c r="Q711" t="s">
        <v>1522</v>
      </c>
      <c r="R711" t="s">
        <v>1007</v>
      </c>
      <c r="S711">
        <v>3697.1</v>
      </c>
    </row>
    <row r="712" spans="1:19" x14ac:dyDescent="0.3">
      <c r="A712" t="s">
        <v>181</v>
      </c>
      <c r="C712" t="s">
        <v>1006</v>
      </c>
      <c r="D712" t="s">
        <v>36</v>
      </c>
      <c r="E712" t="s">
        <v>37</v>
      </c>
      <c r="F712" t="s">
        <v>38</v>
      </c>
      <c r="G712" t="s">
        <v>39</v>
      </c>
      <c r="H712">
        <v>2023</v>
      </c>
      <c r="I712" t="s">
        <v>271</v>
      </c>
      <c r="M712">
        <v>2023</v>
      </c>
      <c r="O712" t="s">
        <v>45</v>
      </c>
      <c r="Q712" t="s">
        <v>1523</v>
      </c>
      <c r="R712" t="s">
        <v>1008</v>
      </c>
      <c r="S712">
        <v>94</v>
      </c>
    </row>
    <row r="713" spans="1:19" x14ac:dyDescent="0.3">
      <c r="A713" t="s">
        <v>181</v>
      </c>
      <c r="C713" t="s">
        <v>1006</v>
      </c>
      <c r="D713" t="s">
        <v>36</v>
      </c>
      <c r="E713" t="s">
        <v>37</v>
      </c>
      <c r="F713" t="s">
        <v>38</v>
      </c>
      <c r="G713" t="s">
        <v>39</v>
      </c>
      <c r="H713">
        <v>2023</v>
      </c>
      <c r="I713" t="s">
        <v>271</v>
      </c>
      <c r="M713">
        <v>2023</v>
      </c>
      <c r="O713" t="s">
        <v>45</v>
      </c>
      <c r="R713" s="64" t="s">
        <v>1009</v>
      </c>
      <c r="S713" s="65">
        <f>S711/S712</f>
        <v>39.330851063829783</v>
      </c>
    </row>
    <row r="714" spans="1:19" x14ac:dyDescent="0.3">
      <c r="A714" t="s">
        <v>181</v>
      </c>
      <c r="C714" t="s">
        <v>1006</v>
      </c>
      <c r="D714" t="s">
        <v>36</v>
      </c>
      <c r="E714" t="s">
        <v>37</v>
      </c>
      <c r="F714" t="s">
        <v>38</v>
      </c>
      <c r="G714" t="s">
        <v>39</v>
      </c>
      <c r="H714">
        <v>2023</v>
      </c>
      <c r="I714" t="s">
        <v>271</v>
      </c>
      <c r="M714">
        <v>2023</v>
      </c>
      <c r="O714" t="s">
        <v>45</v>
      </c>
      <c r="Q714" t="s">
        <v>1522</v>
      </c>
      <c r="R714" t="s">
        <v>1010</v>
      </c>
      <c r="S714">
        <v>43194</v>
      </c>
    </row>
    <row r="715" spans="1:19" x14ac:dyDescent="0.3">
      <c r="A715" t="s">
        <v>181</v>
      </c>
      <c r="C715" t="s">
        <v>1006</v>
      </c>
      <c r="D715" t="s">
        <v>36</v>
      </c>
      <c r="E715" t="s">
        <v>37</v>
      </c>
      <c r="F715" t="s">
        <v>38</v>
      </c>
      <c r="G715" t="s">
        <v>39</v>
      </c>
      <c r="H715">
        <v>2023</v>
      </c>
      <c r="I715" t="s">
        <v>271</v>
      </c>
      <c r="M715">
        <v>2023</v>
      </c>
      <c r="O715" t="s">
        <v>45</v>
      </c>
      <c r="Q715" t="s">
        <v>1524</v>
      </c>
      <c r="R715" t="s">
        <v>1011</v>
      </c>
      <c r="S715">
        <v>1028</v>
      </c>
    </row>
    <row r="716" spans="1:19" x14ac:dyDescent="0.3">
      <c r="A716" t="s">
        <v>181</v>
      </c>
      <c r="C716" t="s">
        <v>1006</v>
      </c>
      <c r="D716" t="s">
        <v>36</v>
      </c>
      <c r="E716" t="s">
        <v>37</v>
      </c>
      <c r="F716" t="s">
        <v>38</v>
      </c>
      <c r="G716" t="s">
        <v>39</v>
      </c>
      <c r="H716">
        <v>2023</v>
      </c>
      <c r="I716" t="s">
        <v>271</v>
      </c>
      <c r="M716">
        <v>2023</v>
      </c>
      <c r="O716" t="s">
        <v>45</v>
      </c>
      <c r="R716" s="64" t="s">
        <v>1012</v>
      </c>
      <c r="S716" s="65">
        <f>S714/S715</f>
        <v>42.017509727626461</v>
      </c>
    </row>
    <row r="717" spans="1:19" x14ac:dyDescent="0.3">
      <c r="A717" t="s">
        <v>181</v>
      </c>
      <c r="C717" t="s">
        <v>1014</v>
      </c>
      <c r="D717" t="s">
        <v>36</v>
      </c>
      <c r="E717" t="s">
        <v>37</v>
      </c>
      <c r="F717" t="s">
        <v>38</v>
      </c>
      <c r="G717" t="s">
        <v>39</v>
      </c>
      <c r="H717">
        <v>2023</v>
      </c>
      <c r="I717" t="s">
        <v>271</v>
      </c>
      <c r="M717">
        <v>2023</v>
      </c>
      <c r="O717" t="s">
        <v>45</v>
      </c>
      <c r="Q717" t="s">
        <v>1525</v>
      </c>
      <c r="R717" t="s">
        <v>1015</v>
      </c>
      <c r="S717">
        <v>357.53300000000002</v>
      </c>
    </row>
    <row r="718" spans="1:19" x14ac:dyDescent="0.3">
      <c r="A718" t="s">
        <v>181</v>
      </c>
      <c r="C718" t="s">
        <v>1014</v>
      </c>
      <c r="D718" t="s">
        <v>36</v>
      </c>
      <c r="E718" t="s">
        <v>37</v>
      </c>
      <c r="F718" t="s">
        <v>38</v>
      </c>
      <c r="G718" t="s">
        <v>39</v>
      </c>
      <c r="H718">
        <v>2023</v>
      </c>
      <c r="I718" t="s">
        <v>271</v>
      </c>
      <c r="M718">
        <v>2023</v>
      </c>
      <c r="O718" t="s">
        <v>45</v>
      </c>
      <c r="Q718" t="s">
        <v>1526</v>
      </c>
      <c r="R718" t="s">
        <v>1016</v>
      </c>
      <c r="S718">
        <v>40</v>
      </c>
    </row>
    <row r="719" spans="1:19" x14ac:dyDescent="0.3">
      <c r="A719" t="s">
        <v>181</v>
      </c>
      <c r="C719" t="s">
        <v>1014</v>
      </c>
      <c r="D719" t="s">
        <v>36</v>
      </c>
      <c r="E719" t="s">
        <v>37</v>
      </c>
      <c r="F719" t="s">
        <v>38</v>
      </c>
      <c r="G719" t="s">
        <v>39</v>
      </c>
      <c r="H719">
        <v>2023</v>
      </c>
      <c r="I719" t="s">
        <v>271</v>
      </c>
      <c r="M719">
        <v>2023</v>
      </c>
      <c r="O719" t="s">
        <v>45</v>
      </c>
      <c r="Q719" t="s">
        <v>1527</v>
      </c>
      <c r="R719" t="s">
        <v>1017</v>
      </c>
      <c r="S719">
        <v>5395.1620000000003</v>
      </c>
    </row>
    <row r="720" spans="1:19" x14ac:dyDescent="0.3">
      <c r="A720" t="s">
        <v>181</v>
      </c>
      <c r="C720" t="s">
        <v>1014</v>
      </c>
      <c r="D720" t="s">
        <v>36</v>
      </c>
      <c r="E720" t="s">
        <v>37</v>
      </c>
      <c r="F720" t="s">
        <v>38</v>
      </c>
      <c r="G720" t="s">
        <v>39</v>
      </c>
      <c r="H720">
        <v>2023</v>
      </c>
      <c r="I720" t="s">
        <v>271</v>
      </c>
      <c r="M720">
        <v>2023</v>
      </c>
      <c r="O720" t="s">
        <v>45</v>
      </c>
      <c r="Q720" t="s">
        <v>1528</v>
      </c>
      <c r="R720" t="s">
        <v>1018</v>
      </c>
      <c r="S720">
        <v>94</v>
      </c>
    </row>
    <row r="721" spans="1:19" x14ac:dyDescent="0.3">
      <c r="A721" t="s">
        <v>181</v>
      </c>
      <c r="C721" t="s">
        <v>1020</v>
      </c>
      <c r="D721" t="s">
        <v>36</v>
      </c>
      <c r="E721" t="s">
        <v>37</v>
      </c>
      <c r="F721" t="s">
        <v>38</v>
      </c>
      <c r="G721" t="s">
        <v>39</v>
      </c>
      <c r="H721">
        <v>2023</v>
      </c>
      <c r="I721" t="s">
        <v>271</v>
      </c>
      <c r="M721">
        <v>2023</v>
      </c>
      <c r="O721" t="s">
        <v>45</v>
      </c>
      <c r="Q721" t="s">
        <v>1529</v>
      </c>
      <c r="R721" t="s">
        <v>1021</v>
      </c>
      <c r="S721">
        <v>961554.48</v>
      </c>
    </row>
    <row r="722" spans="1:19" x14ac:dyDescent="0.3">
      <c r="A722" t="s">
        <v>181</v>
      </c>
      <c r="C722" t="s">
        <v>1020</v>
      </c>
      <c r="D722" t="s">
        <v>36</v>
      </c>
      <c r="E722" t="s">
        <v>37</v>
      </c>
      <c r="F722" t="s">
        <v>38</v>
      </c>
      <c r="G722" t="s">
        <v>39</v>
      </c>
      <c r="H722">
        <v>2023</v>
      </c>
      <c r="I722" t="s">
        <v>271</v>
      </c>
      <c r="M722">
        <v>2023</v>
      </c>
      <c r="O722" t="s">
        <v>45</v>
      </c>
      <c r="Q722" t="s">
        <v>1530</v>
      </c>
      <c r="R722" t="s">
        <v>1022</v>
      </c>
      <c r="S722">
        <v>1528901.15</v>
      </c>
    </row>
    <row r="723" spans="1:19" x14ac:dyDescent="0.3">
      <c r="A723" t="s">
        <v>181</v>
      </c>
      <c r="C723" t="s">
        <v>1024</v>
      </c>
      <c r="D723" t="s">
        <v>36</v>
      </c>
      <c r="E723" t="s">
        <v>37</v>
      </c>
      <c r="F723" t="s">
        <v>38</v>
      </c>
      <c r="G723" t="s">
        <v>39</v>
      </c>
      <c r="H723">
        <v>2023</v>
      </c>
      <c r="I723" t="s">
        <v>271</v>
      </c>
      <c r="M723">
        <v>2023</v>
      </c>
      <c r="O723" t="s">
        <v>45</v>
      </c>
      <c r="Q723" t="s">
        <v>1531</v>
      </c>
      <c r="R723" t="s">
        <v>1026</v>
      </c>
      <c r="S723">
        <v>12684.687</v>
      </c>
    </row>
    <row r="724" spans="1:19" x14ac:dyDescent="0.3">
      <c r="A724" t="s">
        <v>181</v>
      </c>
      <c r="C724" t="s">
        <v>1024</v>
      </c>
      <c r="D724" t="s">
        <v>36</v>
      </c>
      <c r="E724" t="s">
        <v>37</v>
      </c>
      <c r="F724" t="s">
        <v>38</v>
      </c>
      <c r="G724" t="s">
        <v>39</v>
      </c>
      <c r="H724">
        <v>2023</v>
      </c>
      <c r="I724" t="s">
        <v>271</v>
      </c>
      <c r="M724">
        <v>2023</v>
      </c>
      <c r="O724" t="s">
        <v>45</v>
      </c>
      <c r="Q724" t="s">
        <v>1532</v>
      </c>
      <c r="R724" t="s">
        <v>1025</v>
      </c>
      <c r="S724">
        <v>3078.9810000000002</v>
      </c>
    </row>
    <row r="725" spans="1:19" x14ac:dyDescent="0.3">
      <c r="A725" t="s">
        <v>181</v>
      </c>
      <c r="C725" t="s">
        <v>1024</v>
      </c>
      <c r="D725" t="s">
        <v>36</v>
      </c>
      <c r="E725" t="s">
        <v>37</v>
      </c>
      <c r="F725" t="s">
        <v>38</v>
      </c>
      <c r="G725" t="s">
        <v>39</v>
      </c>
      <c r="H725">
        <v>2023</v>
      </c>
      <c r="I725" t="s">
        <v>271</v>
      </c>
      <c r="M725">
        <v>2023</v>
      </c>
      <c r="O725" t="s">
        <v>45</v>
      </c>
      <c r="Q725" t="s">
        <v>1533</v>
      </c>
      <c r="R725" s="64" t="s">
        <v>1027</v>
      </c>
      <c r="S725" s="64">
        <f>S723+S724</f>
        <v>15763.668</v>
      </c>
    </row>
    <row r="726" spans="1:19" x14ac:dyDescent="0.3">
      <c r="A726" t="s">
        <v>181</v>
      </c>
      <c r="C726" t="s">
        <v>1024</v>
      </c>
      <c r="D726" t="s">
        <v>36</v>
      </c>
      <c r="E726" t="s">
        <v>37</v>
      </c>
      <c r="F726" t="s">
        <v>38</v>
      </c>
      <c r="G726" t="s">
        <v>39</v>
      </c>
      <c r="H726">
        <v>2023</v>
      </c>
      <c r="I726" t="s">
        <v>271</v>
      </c>
      <c r="M726">
        <v>2023</v>
      </c>
      <c r="O726" t="s">
        <v>45</v>
      </c>
      <c r="Q726" t="s">
        <v>1534</v>
      </c>
      <c r="R726" t="s">
        <v>1029</v>
      </c>
      <c r="S726">
        <v>12354.261</v>
      </c>
    </row>
    <row r="727" spans="1:19" x14ac:dyDescent="0.3">
      <c r="A727" t="s">
        <v>181</v>
      </c>
      <c r="C727" t="s">
        <v>1024</v>
      </c>
      <c r="D727" t="s">
        <v>36</v>
      </c>
      <c r="E727" t="s">
        <v>37</v>
      </c>
      <c r="F727" t="s">
        <v>38</v>
      </c>
      <c r="G727" t="s">
        <v>39</v>
      </c>
      <c r="H727">
        <v>2023</v>
      </c>
      <c r="I727" t="s">
        <v>271</v>
      </c>
      <c r="M727">
        <v>2023</v>
      </c>
      <c r="O727" t="s">
        <v>45</v>
      </c>
      <c r="Q727" t="s">
        <v>1532</v>
      </c>
      <c r="R727" t="s">
        <v>1028</v>
      </c>
      <c r="S727">
        <v>2593.683</v>
      </c>
    </row>
    <row r="728" spans="1:19" x14ac:dyDescent="0.3">
      <c r="A728" t="s">
        <v>181</v>
      </c>
      <c r="C728" t="s">
        <v>1024</v>
      </c>
      <c r="D728" t="s">
        <v>36</v>
      </c>
      <c r="E728" t="s">
        <v>37</v>
      </c>
      <c r="F728" t="s">
        <v>38</v>
      </c>
      <c r="G728" t="s">
        <v>39</v>
      </c>
      <c r="H728">
        <v>2023</v>
      </c>
      <c r="I728" t="s">
        <v>271</v>
      </c>
      <c r="M728">
        <v>2023</v>
      </c>
      <c r="O728" t="s">
        <v>45</v>
      </c>
      <c r="Q728" t="s">
        <v>1535</v>
      </c>
      <c r="R728" s="64" t="s">
        <v>1030</v>
      </c>
      <c r="S728" s="64">
        <f>S726+S727</f>
        <v>14947.944</v>
      </c>
    </row>
    <row r="729" spans="1:19" x14ac:dyDescent="0.3">
      <c r="A729" t="s">
        <v>181</v>
      </c>
      <c r="C729" t="s">
        <v>1032</v>
      </c>
      <c r="D729" t="s">
        <v>36</v>
      </c>
      <c r="E729" t="s">
        <v>37</v>
      </c>
      <c r="F729" t="s">
        <v>38</v>
      </c>
      <c r="G729" t="s">
        <v>39</v>
      </c>
      <c r="H729">
        <v>2023</v>
      </c>
      <c r="I729" t="s">
        <v>271</v>
      </c>
      <c r="M729">
        <v>2023</v>
      </c>
      <c r="O729" t="s">
        <v>45</v>
      </c>
      <c r="Q729" t="s">
        <v>1536</v>
      </c>
      <c r="R729" t="s">
        <v>1034</v>
      </c>
      <c r="S729">
        <v>1737.796</v>
      </c>
    </row>
    <row r="730" spans="1:19" x14ac:dyDescent="0.3">
      <c r="A730" t="s">
        <v>181</v>
      </c>
      <c r="C730" t="s">
        <v>1032</v>
      </c>
      <c r="D730" t="s">
        <v>36</v>
      </c>
      <c r="E730" t="s">
        <v>37</v>
      </c>
      <c r="F730" t="s">
        <v>38</v>
      </c>
      <c r="G730" t="s">
        <v>39</v>
      </c>
      <c r="H730">
        <v>2023</v>
      </c>
      <c r="I730" t="s">
        <v>271</v>
      </c>
      <c r="M730">
        <v>2023</v>
      </c>
      <c r="O730" t="s">
        <v>45</v>
      </c>
      <c r="Q730" t="s">
        <v>1537</v>
      </c>
      <c r="R730" t="s">
        <v>1033</v>
      </c>
      <c r="S730">
        <v>453.59500000000003</v>
      </c>
    </row>
    <row r="731" spans="1:19" x14ac:dyDescent="0.3">
      <c r="A731" t="s">
        <v>181</v>
      </c>
      <c r="C731" t="s">
        <v>1032</v>
      </c>
      <c r="D731" t="s">
        <v>36</v>
      </c>
      <c r="E731" t="s">
        <v>37</v>
      </c>
      <c r="F731" t="s">
        <v>38</v>
      </c>
      <c r="G731" t="s">
        <v>39</v>
      </c>
      <c r="H731">
        <v>2023</v>
      </c>
      <c r="I731" t="s">
        <v>271</v>
      </c>
      <c r="M731">
        <v>2023</v>
      </c>
      <c r="O731" t="s">
        <v>45</v>
      </c>
      <c r="R731" t="s">
        <v>1035</v>
      </c>
      <c r="S731">
        <f>S729+S730</f>
        <v>2191.3910000000001</v>
      </c>
    </row>
    <row r="732" spans="1:19" x14ac:dyDescent="0.3">
      <c r="A732" t="s">
        <v>181</v>
      </c>
      <c r="C732" t="s">
        <v>1032</v>
      </c>
      <c r="D732" t="s">
        <v>36</v>
      </c>
      <c r="E732" t="s">
        <v>37</v>
      </c>
      <c r="F732" t="s">
        <v>38</v>
      </c>
      <c r="G732" t="s">
        <v>39</v>
      </c>
      <c r="H732">
        <v>2023</v>
      </c>
      <c r="I732" t="s">
        <v>271</v>
      </c>
      <c r="M732">
        <v>2023</v>
      </c>
      <c r="O732" t="s">
        <v>45</v>
      </c>
      <c r="Q732" t="s">
        <v>1538</v>
      </c>
      <c r="R732" t="s">
        <v>1036</v>
      </c>
      <c r="S732">
        <v>12354.261</v>
      </c>
    </row>
    <row r="733" spans="1:19" x14ac:dyDescent="0.3">
      <c r="A733" t="s">
        <v>181</v>
      </c>
      <c r="C733" t="s">
        <v>1032</v>
      </c>
      <c r="D733" t="s">
        <v>36</v>
      </c>
      <c r="E733" t="s">
        <v>37</v>
      </c>
      <c r="F733" t="s">
        <v>38</v>
      </c>
      <c r="G733" t="s">
        <v>39</v>
      </c>
      <c r="H733">
        <v>2023</v>
      </c>
      <c r="I733" t="s">
        <v>271</v>
      </c>
      <c r="M733">
        <v>2023</v>
      </c>
      <c r="O733" t="s">
        <v>45</v>
      </c>
      <c r="Q733" t="s">
        <v>1539</v>
      </c>
      <c r="R733" t="s">
        <v>1037</v>
      </c>
      <c r="S733">
        <v>2593.6889999999999</v>
      </c>
    </row>
    <row r="734" spans="1:19" x14ac:dyDescent="0.3">
      <c r="A734" t="s">
        <v>181</v>
      </c>
      <c r="C734" t="s">
        <v>1032</v>
      </c>
      <c r="D734" t="s">
        <v>36</v>
      </c>
      <c r="E734" t="s">
        <v>37</v>
      </c>
      <c r="F734" t="s">
        <v>38</v>
      </c>
      <c r="G734" t="s">
        <v>39</v>
      </c>
      <c r="H734">
        <v>2023</v>
      </c>
      <c r="I734" t="s">
        <v>271</v>
      </c>
      <c r="M734">
        <v>2023</v>
      </c>
      <c r="O734" t="s">
        <v>45</v>
      </c>
      <c r="Q734" t="s">
        <v>1540</v>
      </c>
      <c r="R734" t="s">
        <v>1038</v>
      </c>
      <c r="S734">
        <f>S732+S733</f>
        <v>14947.95</v>
      </c>
    </row>
    <row r="735" spans="1:19" x14ac:dyDescent="0.3">
      <c r="A735" t="s">
        <v>181</v>
      </c>
      <c r="C735" t="s">
        <v>1040</v>
      </c>
      <c r="D735" t="s">
        <v>36</v>
      </c>
      <c r="E735" t="s">
        <v>37</v>
      </c>
      <c r="F735" t="s">
        <v>38</v>
      </c>
      <c r="G735" t="s">
        <v>39</v>
      </c>
      <c r="H735">
        <v>2023</v>
      </c>
      <c r="I735" t="s">
        <v>271</v>
      </c>
      <c r="M735">
        <v>2023</v>
      </c>
      <c r="O735" t="s">
        <v>45</v>
      </c>
      <c r="Q735" t="s">
        <v>1536</v>
      </c>
      <c r="R735" t="s">
        <v>1041</v>
      </c>
      <c r="S735">
        <f>S729</f>
        <v>1737.796</v>
      </c>
    </row>
    <row r="736" spans="1:19" x14ac:dyDescent="0.3">
      <c r="A736" t="s">
        <v>181</v>
      </c>
      <c r="C736" t="s">
        <v>1040</v>
      </c>
      <c r="D736" t="s">
        <v>36</v>
      </c>
      <c r="E736" t="s">
        <v>37</v>
      </c>
      <c r="F736" t="s">
        <v>38</v>
      </c>
      <c r="G736" t="s">
        <v>39</v>
      </c>
      <c r="H736">
        <v>2023</v>
      </c>
      <c r="I736" t="s">
        <v>271</v>
      </c>
      <c r="M736">
        <v>2023</v>
      </c>
      <c r="O736" t="s">
        <v>45</v>
      </c>
      <c r="Q736" t="s">
        <v>1537</v>
      </c>
      <c r="R736" t="s">
        <v>1042</v>
      </c>
      <c r="S736">
        <f>S730</f>
        <v>453.59500000000003</v>
      </c>
    </row>
    <row r="737" spans="1:19" x14ac:dyDescent="0.3">
      <c r="A737" t="s">
        <v>181</v>
      </c>
      <c r="C737" t="s">
        <v>1040</v>
      </c>
      <c r="D737" t="s">
        <v>36</v>
      </c>
      <c r="E737" t="s">
        <v>37</v>
      </c>
      <c r="F737" t="s">
        <v>38</v>
      </c>
      <c r="G737" t="s">
        <v>39</v>
      </c>
      <c r="H737">
        <v>2023</v>
      </c>
      <c r="I737" t="s">
        <v>271</v>
      </c>
      <c r="M737">
        <v>2023</v>
      </c>
      <c r="O737" t="s">
        <v>45</v>
      </c>
      <c r="R737" t="s">
        <v>1043</v>
      </c>
      <c r="S737">
        <f>S731</f>
        <v>2191.3910000000001</v>
      </c>
    </row>
    <row r="738" spans="1:19" x14ac:dyDescent="0.3">
      <c r="A738" t="s">
        <v>181</v>
      </c>
      <c r="C738" t="s">
        <v>1040</v>
      </c>
      <c r="D738" t="s">
        <v>36</v>
      </c>
      <c r="E738" t="s">
        <v>37</v>
      </c>
      <c r="F738" t="s">
        <v>38</v>
      </c>
      <c r="G738" t="s">
        <v>39</v>
      </c>
      <c r="H738">
        <v>2023</v>
      </c>
      <c r="I738" t="s">
        <v>271</v>
      </c>
      <c r="M738">
        <v>2023</v>
      </c>
      <c r="O738" t="s">
        <v>45</v>
      </c>
      <c r="Q738" t="s">
        <v>1531</v>
      </c>
      <c r="R738" t="s">
        <v>1044</v>
      </c>
      <c r="S738">
        <f>S723</f>
        <v>12684.687</v>
      </c>
    </row>
    <row r="739" spans="1:19" x14ac:dyDescent="0.3">
      <c r="A739" t="s">
        <v>181</v>
      </c>
      <c r="C739" t="s">
        <v>1040</v>
      </c>
      <c r="D739" t="s">
        <v>36</v>
      </c>
      <c r="E739" t="s">
        <v>37</v>
      </c>
      <c r="F739" t="s">
        <v>38</v>
      </c>
      <c r="G739" t="s">
        <v>39</v>
      </c>
      <c r="H739">
        <v>2023</v>
      </c>
      <c r="I739" t="s">
        <v>271</v>
      </c>
      <c r="M739">
        <v>2023</v>
      </c>
      <c r="O739" t="s">
        <v>45</v>
      </c>
      <c r="Q739" t="s">
        <v>1532</v>
      </c>
      <c r="R739" t="s">
        <v>1045</v>
      </c>
      <c r="S739">
        <f>S724</f>
        <v>3078.9810000000002</v>
      </c>
    </row>
    <row r="740" spans="1:19" x14ac:dyDescent="0.3">
      <c r="A740" t="s">
        <v>181</v>
      </c>
      <c r="C740" t="s">
        <v>1040</v>
      </c>
      <c r="D740" t="s">
        <v>36</v>
      </c>
      <c r="E740" t="s">
        <v>37</v>
      </c>
      <c r="F740" t="s">
        <v>38</v>
      </c>
      <c r="G740" t="s">
        <v>39</v>
      </c>
      <c r="H740">
        <v>2023</v>
      </c>
      <c r="I740" t="s">
        <v>271</v>
      </c>
      <c r="M740">
        <v>2023</v>
      </c>
      <c r="O740" t="s">
        <v>45</v>
      </c>
      <c r="Q740" t="s">
        <v>1541</v>
      </c>
      <c r="R740" t="s">
        <v>1047</v>
      </c>
      <c r="S740">
        <f>S725</f>
        <v>15763.668</v>
      </c>
    </row>
    <row r="741" spans="1:19" x14ac:dyDescent="0.3">
      <c r="A741" t="s">
        <v>181</v>
      </c>
      <c r="C741" t="s">
        <v>1040</v>
      </c>
      <c r="D741" t="s">
        <v>36</v>
      </c>
      <c r="E741" t="s">
        <v>37</v>
      </c>
      <c r="F741" t="s">
        <v>38</v>
      </c>
      <c r="G741" t="s">
        <v>39</v>
      </c>
      <c r="H741">
        <v>2023</v>
      </c>
      <c r="I741" t="s">
        <v>271</v>
      </c>
      <c r="M741">
        <v>2023</v>
      </c>
      <c r="O741" t="s">
        <v>45</v>
      </c>
      <c r="Q741" t="s">
        <v>1542</v>
      </c>
      <c r="R741" t="s">
        <v>1046</v>
      </c>
      <c r="S741">
        <v>1407.37</v>
      </c>
    </row>
    <row r="742" spans="1:19" x14ac:dyDescent="0.3">
      <c r="A742" t="s">
        <v>181</v>
      </c>
      <c r="C742" t="s">
        <v>1040</v>
      </c>
      <c r="D742" t="s">
        <v>36</v>
      </c>
      <c r="E742" t="s">
        <v>37</v>
      </c>
      <c r="F742" t="s">
        <v>38</v>
      </c>
      <c r="G742" t="s">
        <v>39</v>
      </c>
      <c r="H742">
        <v>2023</v>
      </c>
      <c r="I742" t="s">
        <v>271</v>
      </c>
      <c r="M742">
        <v>2023</v>
      </c>
      <c r="O742" t="s">
        <v>45</v>
      </c>
      <c r="Q742" t="s">
        <v>1543</v>
      </c>
      <c r="R742" t="s">
        <v>1048</v>
      </c>
      <c r="S742">
        <v>32.79</v>
      </c>
    </row>
    <row r="743" spans="1:19" x14ac:dyDescent="0.3">
      <c r="A743" t="s">
        <v>181</v>
      </c>
      <c r="C743" t="s">
        <v>1040</v>
      </c>
      <c r="D743" t="s">
        <v>36</v>
      </c>
      <c r="E743" t="s">
        <v>37</v>
      </c>
      <c r="F743" t="s">
        <v>38</v>
      </c>
      <c r="G743" t="s">
        <v>39</v>
      </c>
      <c r="H743">
        <v>2023</v>
      </c>
      <c r="I743" t="s">
        <v>271</v>
      </c>
      <c r="M743">
        <v>2023</v>
      </c>
      <c r="O743" t="s">
        <v>45</v>
      </c>
      <c r="Q743" t="s">
        <v>1543</v>
      </c>
      <c r="R743" t="s">
        <v>1049</v>
      </c>
      <c r="S743">
        <f>S741+S742</f>
        <v>1440.1599999999999</v>
      </c>
    </row>
    <row r="744" spans="1:19" x14ac:dyDescent="0.3">
      <c r="A744" t="s">
        <v>190</v>
      </c>
      <c r="C744" s="15" t="s">
        <v>1051</v>
      </c>
      <c r="D744" t="s">
        <v>36</v>
      </c>
      <c r="E744" t="s">
        <v>37</v>
      </c>
      <c r="F744" t="s">
        <v>38</v>
      </c>
      <c r="G744" t="s">
        <v>39</v>
      </c>
      <c r="H744">
        <v>2023</v>
      </c>
      <c r="I744" t="s">
        <v>271</v>
      </c>
      <c r="M744">
        <v>2023</v>
      </c>
      <c r="O744" t="s">
        <v>45</v>
      </c>
      <c r="Q744" t="s">
        <v>1544</v>
      </c>
      <c r="R744" s="126" t="s">
        <v>1052</v>
      </c>
      <c r="S744" s="126">
        <v>1</v>
      </c>
    </row>
    <row r="745" spans="1:19" x14ac:dyDescent="0.3">
      <c r="A745" t="s">
        <v>190</v>
      </c>
      <c r="C745" s="15" t="s">
        <v>1051</v>
      </c>
      <c r="D745" t="s">
        <v>36</v>
      </c>
      <c r="E745" t="s">
        <v>37</v>
      </c>
      <c r="F745" t="s">
        <v>38</v>
      </c>
      <c r="G745" t="s">
        <v>39</v>
      </c>
      <c r="H745">
        <v>2023</v>
      </c>
      <c r="I745" t="s">
        <v>271</v>
      </c>
      <c r="M745">
        <v>2023</v>
      </c>
      <c r="O745" t="s">
        <v>45</v>
      </c>
      <c r="Q745" t="s">
        <v>1545</v>
      </c>
      <c r="R745" s="126" t="s">
        <v>1053</v>
      </c>
      <c r="S745" s="126">
        <v>469.08</v>
      </c>
    </row>
    <row r="746" spans="1:19" x14ac:dyDescent="0.3">
      <c r="A746" t="s">
        <v>190</v>
      </c>
      <c r="C746" s="15" t="s">
        <v>1051</v>
      </c>
      <c r="D746" t="s">
        <v>36</v>
      </c>
      <c r="E746" t="s">
        <v>37</v>
      </c>
      <c r="F746" t="s">
        <v>38</v>
      </c>
      <c r="G746" t="s">
        <v>39</v>
      </c>
      <c r="H746">
        <v>2023</v>
      </c>
      <c r="I746" t="s">
        <v>271</v>
      </c>
      <c r="M746">
        <v>2023</v>
      </c>
      <c r="O746" t="s">
        <v>45</v>
      </c>
      <c r="Q746" t="s">
        <v>1544</v>
      </c>
      <c r="R746" s="126" t="s">
        <v>1054</v>
      </c>
      <c r="S746" s="126">
        <v>267</v>
      </c>
    </row>
    <row r="747" spans="1:19" x14ac:dyDescent="0.3">
      <c r="A747" t="s">
        <v>190</v>
      </c>
      <c r="C747" s="15" t="s">
        <v>1051</v>
      </c>
      <c r="D747" t="s">
        <v>36</v>
      </c>
      <c r="E747" t="s">
        <v>37</v>
      </c>
      <c r="F747" t="s">
        <v>38</v>
      </c>
      <c r="G747" t="s">
        <v>39</v>
      </c>
      <c r="H747">
        <v>2023</v>
      </c>
      <c r="I747" t="s">
        <v>271</v>
      </c>
      <c r="M747">
        <v>2023</v>
      </c>
      <c r="O747" t="s">
        <v>45</v>
      </c>
      <c r="Q747" t="s">
        <v>1545</v>
      </c>
      <c r="R747" s="126" t="s">
        <v>1055</v>
      </c>
      <c r="S747" s="126">
        <v>23004.15</v>
      </c>
    </row>
    <row r="748" spans="1:19" x14ac:dyDescent="0.3">
      <c r="A748" t="s">
        <v>190</v>
      </c>
      <c r="C748" s="15" t="s">
        <v>1051</v>
      </c>
      <c r="D748" t="s">
        <v>36</v>
      </c>
      <c r="E748" t="s">
        <v>37</v>
      </c>
      <c r="F748" t="s">
        <v>38</v>
      </c>
      <c r="G748" t="s">
        <v>39</v>
      </c>
      <c r="H748">
        <v>2023</v>
      </c>
      <c r="I748" t="s">
        <v>271</v>
      </c>
      <c r="M748">
        <v>2023</v>
      </c>
      <c r="O748" t="s">
        <v>45</v>
      </c>
      <c r="Q748" t="s">
        <v>1544</v>
      </c>
      <c r="R748" s="126" t="s">
        <v>1056</v>
      </c>
      <c r="S748" s="126">
        <v>5413</v>
      </c>
    </row>
    <row r="749" spans="1:19" x14ac:dyDescent="0.3">
      <c r="A749" t="s">
        <v>190</v>
      </c>
      <c r="C749" s="15" t="s">
        <v>1051</v>
      </c>
      <c r="D749" t="s">
        <v>36</v>
      </c>
      <c r="E749" t="s">
        <v>37</v>
      </c>
      <c r="F749" t="s">
        <v>38</v>
      </c>
      <c r="G749" t="s">
        <v>39</v>
      </c>
      <c r="H749">
        <v>2023</v>
      </c>
      <c r="I749" t="s">
        <v>271</v>
      </c>
      <c r="M749">
        <v>2023</v>
      </c>
      <c r="O749" t="s">
        <v>45</v>
      </c>
      <c r="Q749" t="s">
        <v>1546</v>
      </c>
      <c r="R749" s="126" t="s">
        <v>1057</v>
      </c>
      <c r="S749" s="126">
        <v>1750899.24</v>
      </c>
    </row>
    <row r="750" spans="1:19" x14ac:dyDescent="0.3">
      <c r="A750" t="s">
        <v>190</v>
      </c>
      <c r="C750" s="15" t="s">
        <v>1051</v>
      </c>
      <c r="D750" t="s">
        <v>36</v>
      </c>
      <c r="E750" t="s">
        <v>37</v>
      </c>
      <c r="F750" t="s">
        <v>38</v>
      </c>
      <c r="G750" t="s">
        <v>39</v>
      </c>
      <c r="H750">
        <v>2023</v>
      </c>
      <c r="I750" t="s">
        <v>271</v>
      </c>
      <c r="M750">
        <v>2023</v>
      </c>
      <c r="O750" t="s">
        <v>45</v>
      </c>
      <c r="Q750" t="s">
        <v>1547</v>
      </c>
      <c r="R750" s="127" t="s">
        <v>1058</v>
      </c>
      <c r="S750" s="127">
        <f>S744+S746+S748</f>
        <v>5681</v>
      </c>
    </row>
    <row r="751" spans="1:19" x14ac:dyDescent="0.3">
      <c r="A751" t="s">
        <v>190</v>
      </c>
      <c r="C751" s="15" t="s">
        <v>1051</v>
      </c>
      <c r="D751" t="s">
        <v>36</v>
      </c>
      <c r="E751" t="s">
        <v>37</v>
      </c>
      <c r="F751" t="s">
        <v>38</v>
      </c>
      <c r="G751" t="s">
        <v>39</v>
      </c>
      <c r="H751">
        <v>2023</v>
      </c>
      <c r="I751" t="s">
        <v>271</v>
      </c>
      <c r="M751">
        <v>2023</v>
      </c>
      <c r="O751" t="s">
        <v>45</v>
      </c>
      <c r="Q751" t="s">
        <v>1548</v>
      </c>
      <c r="R751" s="127" t="s">
        <v>1059</v>
      </c>
      <c r="S751" s="127">
        <f>S745+S747+S749</f>
        <v>1774372.47</v>
      </c>
    </row>
    <row r="752" spans="1:19" x14ac:dyDescent="0.3">
      <c r="A752" t="s">
        <v>190</v>
      </c>
      <c r="C752" s="15" t="s">
        <v>1051</v>
      </c>
      <c r="D752" t="s">
        <v>36</v>
      </c>
      <c r="E752" t="s">
        <v>37</v>
      </c>
      <c r="F752" t="s">
        <v>38</v>
      </c>
      <c r="G752" t="s">
        <v>39</v>
      </c>
      <c r="H752">
        <v>2023</v>
      </c>
      <c r="I752" t="s">
        <v>271</v>
      </c>
      <c r="M752">
        <v>2023</v>
      </c>
      <c r="O752" t="s">
        <v>45</v>
      </c>
      <c r="Q752" t="s">
        <v>1549</v>
      </c>
      <c r="R752" s="126" t="s">
        <v>1060</v>
      </c>
      <c r="S752" s="126">
        <v>695</v>
      </c>
    </row>
    <row r="753" spans="1:19" x14ac:dyDescent="0.3">
      <c r="A753" t="s">
        <v>190</v>
      </c>
      <c r="C753" s="15" t="s">
        <v>1051</v>
      </c>
      <c r="D753" t="s">
        <v>36</v>
      </c>
      <c r="E753" t="s">
        <v>37</v>
      </c>
      <c r="F753" t="s">
        <v>38</v>
      </c>
      <c r="G753" t="s">
        <v>39</v>
      </c>
      <c r="H753">
        <v>2023</v>
      </c>
      <c r="I753" t="s">
        <v>271</v>
      </c>
      <c r="M753">
        <v>2023</v>
      </c>
      <c r="O753" t="s">
        <v>45</v>
      </c>
      <c r="Q753" t="s">
        <v>1550</v>
      </c>
      <c r="R753" s="126" t="s">
        <v>1061</v>
      </c>
      <c r="S753" s="126">
        <v>47419.45</v>
      </c>
    </row>
    <row r="754" spans="1:19" x14ac:dyDescent="0.3">
      <c r="A754" t="s">
        <v>190</v>
      </c>
      <c r="C754" s="15" t="s">
        <v>1051</v>
      </c>
      <c r="D754" t="s">
        <v>36</v>
      </c>
      <c r="E754" t="s">
        <v>37</v>
      </c>
      <c r="F754" t="s">
        <v>38</v>
      </c>
      <c r="G754" t="s">
        <v>39</v>
      </c>
      <c r="H754">
        <v>2023</v>
      </c>
      <c r="I754" t="s">
        <v>271</v>
      </c>
      <c r="M754">
        <v>2023</v>
      </c>
      <c r="O754" t="s">
        <v>45</v>
      </c>
      <c r="Q754" t="s">
        <v>1551</v>
      </c>
      <c r="R754" s="126" t="s">
        <v>1062</v>
      </c>
      <c r="S754" s="126">
        <v>348130.69</v>
      </c>
    </row>
    <row r="755" spans="1:19" x14ac:dyDescent="0.3">
      <c r="A755" t="s">
        <v>190</v>
      </c>
      <c r="C755" s="15" t="s">
        <v>1051</v>
      </c>
      <c r="D755" t="s">
        <v>36</v>
      </c>
      <c r="E755" t="s">
        <v>37</v>
      </c>
      <c r="F755" t="s">
        <v>38</v>
      </c>
      <c r="G755" t="s">
        <v>39</v>
      </c>
      <c r="H755">
        <v>2023</v>
      </c>
      <c r="I755" t="s">
        <v>271</v>
      </c>
      <c r="M755">
        <v>2023</v>
      </c>
      <c r="O755" t="s">
        <v>45</v>
      </c>
      <c r="Q755" t="s">
        <v>1552</v>
      </c>
      <c r="R755" s="127" t="s">
        <v>1063</v>
      </c>
      <c r="S755" s="127">
        <f>S753+S754</f>
        <v>395550.14</v>
      </c>
    </row>
    <row r="756" spans="1:19" x14ac:dyDescent="0.3">
      <c r="A756" t="s">
        <v>190</v>
      </c>
      <c r="C756" s="15" t="s">
        <v>1051</v>
      </c>
      <c r="D756" t="s">
        <v>36</v>
      </c>
      <c r="E756" t="s">
        <v>37</v>
      </c>
      <c r="F756" t="s">
        <v>38</v>
      </c>
      <c r="G756" t="s">
        <v>39</v>
      </c>
      <c r="H756">
        <v>2023</v>
      </c>
      <c r="I756" t="s">
        <v>271</v>
      </c>
      <c r="M756">
        <v>2023</v>
      </c>
      <c r="O756" t="s">
        <v>45</v>
      </c>
      <c r="Q756" t="s">
        <v>1553</v>
      </c>
      <c r="R756" s="126" t="s">
        <v>1064</v>
      </c>
      <c r="S756" s="126">
        <v>803</v>
      </c>
    </row>
    <row r="757" spans="1:19" x14ac:dyDescent="0.3">
      <c r="A757" t="s">
        <v>190</v>
      </c>
      <c r="C757" s="15" t="s">
        <v>1051</v>
      </c>
      <c r="D757" t="s">
        <v>36</v>
      </c>
      <c r="E757" t="s">
        <v>37</v>
      </c>
      <c r="F757" t="s">
        <v>38</v>
      </c>
      <c r="G757" t="s">
        <v>39</v>
      </c>
      <c r="H757">
        <v>2023</v>
      </c>
      <c r="I757" t="s">
        <v>271</v>
      </c>
      <c r="M757">
        <v>2023</v>
      </c>
      <c r="O757" t="s">
        <v>45</v>
      </c>
      <c r="Q757" t="s">
        <v>1550</v>
      </c>
      <c r="R757" s="126" t="s">
        <v>1065</v>
      </c>
      <c r="S757" s="126">
        <v>126301.94</v>
      </c>
    </row>
    <row r="758" spans="1:19" x14ac:dyDescent="0.3">
      <c r="A758" t="s">
        <v>190</v>
      </c>
      <c r="C758" s="15" t="s">
        <v>1051</v>
      </c>
      <c r="D758" t="s">
        <v>36</v>
      </c>
      <c r="E758" t="s">
        <v>37</v>
      </c>
      <c r="F758" t="s">
        <v>38</v>
      </c>
      <c r="G758" t="s">
        <v>39</v>
      </c>
      <c r="H758">
        <v>2023</v>
      </c>
      <c r="I758" t="s">
        <v>271</v>
      </c>
      <c r="M758">
        <v>2023</v>
      </c>
      <c r="O758" t="s">
        <v>45</v>
      </c>
      <c r="Q758" t="s">
        <v>1551</v>
      </c>
      <c r="R758" s="126" t="s">
        <v>1066</v>
      </c>
      <c r="S758" s="126">
        <v>574303.80000000005</v>
      </c>
    </row>
    <row r="759" spans="1:19" x14ac:dyDescent="0.3">
      <c r="A759" t="s">
        <v>190</v>
      </c>
      <c r="C759" s="15" t="s">
        <v>1051</v>
      </c>
      <c r="D759" t="s">
        <v>36</v>
      </c>
      <c r="E759" t="s">
        <v>37</v>
      </c>
      <c r="F759" t="s">
        <v>38</v>
      </c>
      <c r="G759" t="s">
        <v>39</v>
      </c>
      <c r="H759">
        <v>2023</v>
      </c>
      <c r="I759" t="s">
        <v>271</v>
      </c>
      <c r="M759">
        <v>2023</v>
      </c>
      <c r="O759" t="s">
        <v>45</v>
      </c>
      <c r="Q759" t="s">
        <v>1552</v>
      </c>
      <c r="R759" s="127" t="s">
        <v>1067</v>
      </c>
      <c r="S759" s="127">
        <f>S757+S758</f>
        <v>700605.74</v>
      </c>
    </row>
    <row r="760" spans="1:19" x14ac:dyDescent="0.3">
      <c r="A760" t="s">
        <v>190</v>
      </c>
      <c r="C760" s="15" t="s">
        <v>1051</v>
      </c>
      <c r="D760" t="s">
        <v>36</v>
      </c>
      <c r="E760" t="s">
        <v>37</v>
      </c>
      <c r="F760" t="s">
        <v>38</v>
      </c>
      <c r="G760" t="s">
        <v>39</v>
      </c>
      <c r="H760">
        <v>2023</v>
      </c>
      <c r="I760" t="s">
        <v>271</v>
      </c>
      <c r="M760">
        <v>2023</v>
      </c>
      <c r="O760" t="s">
        <v>45</v>
      </c>
      <c r="Q760" t="s">
        <v>1553</v>
      </c>
      <c r="R760" s="126" t="s">
        <v>1068</v>
      </c>
      <c r="S760" s="126">
        <v>671</v>
      </c>
    </row>
    <row r="761" spans="1:19" x14ac:dyDescent="0.3">
      <c r="A761" t="s">
        <v>190</v>
      </c>
      <c r="C761" s="15" t="s">
        <v>1051</v>
      </c>
      <c r="D761" t="s">
        <v>36</v>
      </c>
      <c r="E761" t="s">
        <v>37</v>
      </c>
      <c r="F761" t="s">
        <v>38</v>
      </c>
      <c r="G761" t="s">
        <v>39</v>
      </c>
      <c r="H761">
        <v>2023</v>
      </c>
      <c r="I761" t="s">
        <v>271</v>
      </c>
      <c r="M761">
        <v>2023</v>
      </c>
      <c r="O761" t="s">
        <v>45</v>
      </c>
      <c r="Q761" t="s">
        <v>1554</v>
      </c>
      <c r="R761" s="126" t="s">
        <v>1069</v>
      </c>
      <c r="S761" s="126">
        <v>35940.89</v>
      </c>
    </row>
    <row r="762" spans="1:19" x14ac:dyDescent="0.3">
      <c r="A762" t="s">
        <v>190</v>
      </c>
      <c r="C762" s="15" t="s">
        <v>1051</v>
      </c>
      <c r="D762" t="s">
        <v>36</v>
      </c>
      <c r="E762" t="s">
        <v>37</v>
      </c>
      <c r="F762" t="s">
        <v>38</v>
      </c>
      <c r="G762" t="s">
        <v>39</v>
      </c>
      <c r="H762">
        <v>2023</v>
      </c>
      <c r="I762" t="s">
        <v>271</v>
      </c>
      <c r="M762">
        <v>2023</v>
      </c>
      <c r="O762" t="s">
        <v>45</v>
      </c>
      <c r="Q762" t="s">
        <v>1555</v>
      </c>
      <c r="R762" s="126" t="s">
        <v>1070</v>
      </c>
      <c r="S762" s="126">
        <v>310928.73</v>
      </c>
    </row>
    <row r="763" spans="1:19" x14ac:dyDescent="0.3">
      <c r="A763" t="s">
        <v>190</v>
      </c>
      <c r="C763" s="15" t="s">
        <v>1051</v>
      </c>
      <c r="D763" t="s">
        <v>36</v>
      </c>
      <c r="E763" t="s">
        <v>37</v>
      </c>
      <c r="F763" t="s">
        <v>38</v>
      </c>
      <c r="G763" t="s">
        <v>39</v>
      </c>
      <c r="H763">
        <v>2023</v>
      </c>
      <c r="I763" t="s">
        <v>271</v>
      </c>
      <c r="M763">
        <v>2023</v>
      </c>
      <c r="O763" t="s">
        <v>45</v>
      </c>
      <c r="Q763" t="s">
        <v>1556</v>
      </c>
      <c r="R763" s="127" t="s">
        <v>1071</v>
      </c>
      <c r="S763" s="127">
        <f>S761+S762</f>
        <v>346869.62</v>
      </c>
    </row>
    <row r="764" spans="1:19" ht="28.8" x14ac:dyDescent="0.3">
      <c r="A764" t="s">
        <v>190</v>
      </c>
      <c r="C764" s="15" t="s">
        <v>1051</v>
      </c>
      <c r="D764" t="s">
        <v>36</v>
      </c>
      <c r="E764" t="s">
        <v>37</v>
      </c>
      <c r="F764" t="s">
        <v>38</v>
      </c>
      <c r="G764" t="s">
        <v>39</v>
      </c>
      <c r="H764">
        <v>2023</v>
      </c>
      <c r="I764" t="s">
        <v>271</v>
      </c>
      <c r="M764">
        <v>2023</v>
      </c>
      <c r="O764" t="s">
        <v>45</v>
      </c>
      <c r="Q764" t="s">
        <v>1557</v>
      </c>
      <c r="R764" s="126" t="s">
        <v>1072</v>
      </c>
      <c r="S764" s="126">
        <v>22240.1</v>
      </c>
    </row>
    <row r="765" spans="1:19" x14ac:dyDescent="0.3">
      <c r="A765" t="s">
        <v>190</v>
      </c>
      <c r="C765" s="15" t="s">
        <v>1051</v>
      </c>
      <c r="D765" t="s">
        <v>36</v>
      </c>
      <c r="E765" t="s">
        <v>37</v>
      </c>
      <c r="F765" t="s">
        <v>38</v>
      </c>
      <c r="G765" t="s">
        <v>39</v>
      </c>
      <c r="H765">
        <v>2023</v>
      </c>
      <c r="I765" t="s">
        <v>271</v>
      </c>
      <c r="M765">
        <v>2023</v>
      </c>
      <c r="O765" t="s">
        <v>45</v>
      </c>
      <c r="Q765" t="s">
        <v>1558</v>
      </c>
      <c r="R765" s="126" t="s">
        <v>1073</v>
      </c>
      <c r="S765" s="126">
        <v>65658.92</v>
      </c>
    </row>
    <row r="766" spans="1:19" x14ac:dyDescent="0.3">
      <c r="A766" t="s">
        <v>190</v>
      </c>
      <c r="C766" s="15" t="s">
        <v>1051</v>
      </c>
      <c r="D766" t="s">
        <v>36</v>
      </c>
      <c r="E766" t="s">
        <v>37</v>
      </c>
      <c r="F766" t="s">
        <v>38</v>
      </c>
      <c r="G766" t="s">
        <v>39</v>
      </c>
      <c r="H766">
        <v>2023</v>
      </c>
      <c r="I766" t="s">
        <v>271</v>
      </c>
      <c r="M766">
        <v>2023</v>
      </c>
      <c r="O766" t="s">
        <v>45</v>
      </c>
      <c r="Q766" t="s">
        <v>1559</v>
      </c>
      <c r="R766" s="127" t="s">
        <v>1074</v>
      </c>
      <c r="S766" s="127">
        <f>S764+S765</f>
        <v>87899.01999999999</v>
      </c>
    </row>
    <row r="767" spans="1:19" x14ac:dyDescent="0.3">
      <c r="A767" t="s">
        <v>190</v>
      </c>
      <c r="C767" s="15" t="s">
        <v>1051</v>
      </c>
      <c r="D767" t="s">
        <v>36</v>
      </c>
      <c r="E767" t="s">
        <v>37</v>
      </c>
      <c r="F767" t="s">
        <v>38</v>
      </c>
      <c r="G767" t="s">
        <v>39</v>
      </c>
      <c r="H767">
        <v>2023</v>
      </c>
      <c r="I767" t="s">
        <v>271</v>
      </c>
      <c r="M767">
        <v>2023</v>
      </c>
      <c r="O767" t="s">
        <v>45</v>
      </c>
      <c r="Q767" t="s">
        <v>1560</v>
      </c>
      <c r="R767" s="126" t="s">
        <v>1075</v>
      </c>
      <c r="S767" s="126">
        <v>74.150000000000006</v>
      </c>
    </row>
    <row r="768" spans="1:19" x14ac:dyDescent="0.3">
      <c r="A768" t="s">
        <v>190</v>
      </c>
      <c r="C768" s="15" t="s">
        <v>1051</v>
      </c>
      <c r="D768" t="s">
        <v>36</v>
      </c>
      <c r="E768" t="s">
        <v>37</v>
      </c>
      <c r="F768" t="s">
        <v>38</v>
      </c>
      <c r="G768" t="s">
        <v>39</v>
      </c>
      <c r="H768">
        <v>2023</v>
      </c>
      <c r="I768" t="s">
        <v>271</v>
      </c>
      <c r="M768">
        <v>2023</v>
      </c>
      <c r="O768" t="s">
        <v>45</v>
      </c>
      <c r="Q768" t="s">
        <v>1561</v>
      </c>
      <c r="R768" s="126" t="s">
        <v>1076</v>
      </c>
      <c r="S768" s="126">
        <v>7998.76</v>
      </c>
    </row>
    <row r="769" spans="1:19" x14ac:dyDescent="0.3">
      <c r="A769" t="s">
        <v>190</v>
      </c>
      <c r="C769" s="15" t="s">
        <v>1051</v>
      </c>
      <c r="D769" t="s">
        <v>36</v>
      </c>
      <c r="E769" t="s">
        <v>37</v>
      </c>
      <c r="F769" t="s">
        <v>38</v>
      </c>
      <c r="G769" t="s">
        <v>39</v>
      </c>
      <c r="H769">
        <v>2023</v>
      </c>
      <c r="I769" t="s">
        <v>271</v>
      </c>
      <c r="M769">
        <v>2023</v>
      </c>
      <c r="O769" t="s">
        <v>45</v>
      </c>
      <c r="Q769" t="s">
        <v>1562</v>
      </c>
      <c r="R769" s="127" t="s">
        <v>1077</v>
      </c>
      <c r="S769" s="127">
        <f>S767+S768</f>
        <v>8072.91</v>
      </c>
    </row>
    <row r="770" spans="1:19" x14ac:dyDescent="0.3">
      <c r="A770" t="s">
        <v>190</v>
      </c>
      <c r="C770" s="15" t="s">
        <v>1051</v>
      </c>
      <c r="D770" t="s">
        <v>36</v>
      </c>
      <c r="E770" t="s">
        <v>37</v>
      </c>
      <c r="F770" t="s">
        <v>38</v>
      </c>
      <c r="G770" t="s">
        <v>39</v>
      </c>
      <c r="H770">
        <v>2023</v>
      </c>
      <c r="I770" t="s">
        <v>271</v>
      </c>
      <c r="M770">
        <v>2023</v>
      </c>
      <c r="O770" t="s">
        <v>45</v>
      </c>
      <c r="Q770" t="s">
        <v>1554</v>
      </c>
      <c r="R770" s="126" t="s">
        <v>1078</v>
      </c>
      <c r="S770" s="126">
        <v>0</v>
      </c>
    </row>
    <row r="771" spans="1:19" x14ac:dyDescent="0.3">
      <c r="A771" t="s">
        <v>190</v>
      </c>
      <c r="C771" s="15" t="s">
        <v>1051</v>
      </c>
      <c r="D771" t="s">
        <v>36</v>
      </c>
      <c r="E771" t="s">
        <v>37</v>
      </c>
      <c r="F771" t="s">
        <v>38</v>
      </c>
      <c r="G771" t="s">
        <v>39</v>
      </c>
      <c r="H771">
        <v>2023</v>
      </c>
      <c r="I771" t="s">
        <v>271</v>
      </c>
      <c r="M771">
        <v>2023</v>
      </c>
      <c r="O771" t="s">
        <v>45</v>
      </c>
      <c r="Q771" t="s">
        <v>1555</v>
      </c>
      <c r="R771" s="126" t="s">
        <v>1079</v>
      </c>
      <c r="S771" s="126">
        <v>67.61</v>
      </c>
    </row>
    <row r="772" spans="1:19" x14ac:dyDescent="0.3">
      <c r="A772" t="s">
        <v>190</v>
      </c>
      <c r="C772" s="15" t="s">
        <v>1051</v>
      </c>
      <c r="D772" t="s">
        <v>36</v>
      </c>
      <c r="E772" t="s">
        <v>37</v>
      </c>
      <c r="F772" t="s">
        <v>38</v>
      </c>
      <c r="G772" t="s">
        <v>39</v>
      </c>
      <c r="H772">
        <v>2023</v>
      </c>
      <c r="I772" t="s">
        <v>271</v>
      </c>
      <c r="M772">
        <v>2023</v>
      </c>
      <c r="O772" t="s">
        <v>45</v>
      </c>
      <c r="Q772" t="s">
        <v>1556</v>
      </c>
      <c r="R772" s="127" t="s">
        <v>1080</v>
      </c>
      <c r="S772" s="127">
        <f>S770+S771</f>
        <v>67.61</v>
      </c>
    </row>
    <row r="773" spans="1:19" x14ac:dyDescent="0.3">
      <c r="A773" t="s">
        <v>190</v>
      </c>
      <c r="C773" s="15" t="s">
        <v>1051</v>
      </c>
      <c r="D773" t="s">
        <v>36</v>
      </c>
      <c r="E773" t="s">
        <v>37</v>
      </c>
      <c r="F773" t="s">
        <v>38</v>
      </c>
      <c r="G773" t="s">
        <v>39</v>
      </c>
      <c r="H773">
        <v>2023</v>
      </c>
      <c r="I773" t="s">
        <v>271</v>
      </c>
      <c r="M773">
        <v>2023</v>
      </c>
      <c r="O773" t="s">
        <v>45</v>
      </c>
      <c r="Q773" t="s">
        <v>1550</v>
      </c>
      <c r="R773" s="126" t="s">
        <v>1081</v>
      </c>
      <c r="S773" s="126">
        <v>920.62</v>
      </c>
    </row>
    <row r="774" spans="1:19" x14ac:dyDescent="0.3">
      <c r="A774" t="s">
        <v>190</v>
      </c>
      <c r="C774" s="15" t="s">
        <v>1051</v>
      </c>
      <c r="D774" t="s">
        <v>36</v>
      </c>
      <c r="E774" t="s">
        <v>37</v>
      </c>
      <c r="F774" t="s">
        <v>38</v>
      </c>
      <c r="G774" t="s">
        <v>39</v>
      </c>
      <c r="H774">
        <v>2023</v>
      </c>
      <c r="I774" t="s">
        <v>271</v>
      </c>
      <c r="M774">
        <v>2023</v>
      </c>
      <c r="O774" t="s">
        <v>45</v>
      </c>
      <c r="Q774" t="s">
        <v>1551</v>
      </c>
      <c r="R774" s="126" t="s">
        <v>1082</v>
      </c>
      <c r="S774" s="126">
        <v>8243.43</v>
      </c>
    </row>
    <row r="775" spans="1:19" x14ac:dyDescent="0.3">
      <c r="A775" t="s">
        <v>190</v>
      </c>
      <c r="C775" s="15" t="s">
        <v>1051</v>
      </c>
      <c r="D775" t="s">
        <v>36</v>
      </c>
      <c r="E775" t="s">
        <v>37</v>
      </c>
      <c r="F775" t="s">
        <v>38</v>
      </c>
      <c r="G775" t="s">
        <v>39</v>
      </c>
      <c r="H775">
        <v>2023</v>
      </c>
      <c r="I775" t="s">
        <v>271</v>
      </c>
      <c r="M775">
        <v>2023</v>
      </c>
      <c r="O775" t="s">
        <v>45</v>
      </c>
      <c r="Q775" t="s">
        <v>1552</v>
      </c>
      <c r="R775" s="127" t="s">
        <v>1083</v>
      </c>
      <c r="S775" s="127">
        <f>S773+S774</f>
        <v>9164.0500000000011</v>
      </c>
    </row>
    <row r="776" spans="1:19" x14ac:dyDescent="0.3">
      <c r="A776" t="s">
        <v>190</v>
      </c>
      <c r="C776" s="15" t="s">
        <v>1051</v>
      </c>
      <c r="D776" t="s">
        <v>36</v>
      </c>
      <c r="E776" t="s">
        <v>37</v>
      </c>
      <c r="F776" t="s">
        <v>38</v>
      </c>
      <c r="G776" t="s">
        <v>39</v>
      </c>
      <c r="H776">
        <v>2023</v>
      </c>
      <c r="I776" t="s">
        <v>271</v>
      </c>
      <c r="M776">
        <v>2023</v>
      </c>
      <c r="O776" t="s">
        <v>45</v>
      </c>
      <c r="Q776" t="s">
        <v>1554</v>
      </c>
      <c r="R776" s="126" t="s">
        <v>1084</v>
      </c>
      <c r="S776" s="126">
        <v>731.89</v>
      </c>
    </row>
    <row r="777" spans="1:19" x14ac:dyDescent="0.3">
      <c r="A777" t="s">
        <v>190</v>
      </c>
      <c r="C777" s="15" t="s">
        <v>1051</v>
      </c>
      <c r="D777" t="s">
        <v>36</v>
      </c>
      <c r="E777" t="s">
        <v>37</v>
      </c>
      <c r="F777" t="s">
        <v>38</v>
      </c>
      <c r="G777" t="s">
        <v>39</v>
      </c>
      <c r="H777">
        <v>2023</v>
      </c>
      <c r="I777" t="s">
        <v>271</v>
      </c>
      <c r="M777">
        <v>2023</v>
      </c>
      <c r="O777" t="s">
        <v>45</v>
      </c>
      <c r="Q777" t="s">
        <v>1555</v>
      </c>
      <c r="R777" s="126" t="s">
        <v>1085</v>
      </c>
      <c r="S777" s="126">
        <v>10960.68</v>
      </c>
    </row>
    <row r="778" spans="1:19" x14ac:dyDescent="0.3">
      <c r="A778" t="s">
        <v>190</v>
      </c>
      <c r="C778" s="15" t="s">
        <v>1051</v>
      </c>
      <c r="D778" t="s">
        <v>36</v>
      </c>
      <c r="E778" t="s">
        <v>37</v>
      </c>
      <c r="F778" t="s">
        <v>38</v>
      </c>
      <c r="G778" t="s">
        <v>39</v>
      </c>
      <c r="H778">
        <v>2023</v>
      </c>
      <c r="I778" t="s">
        <v>271</v>
      </c>
      <c r="M778">
        <v>2023</v>
      </c>
      <c r="O778" t="s">
        <v>45</v>
      </c>
      <c r="Q778" t="s">
        <v>1556</v>
      </c>
      <c r="R778" s="126" t="s">
        <v>1086</v>
      </c>
      <c r="S778" s="127">
        <f>S776+S777</f>
        <v>11692.57</v>
      </c>
    </row>
    <row r="779" spans="1:19" x14ac:dyDescent="0.3">
      <c r="A779" t="s">
        <v>190</v>
      </c>
      <c r="C779" s="15" t="s">
        <v>1051</v>
      </c>
      <c r="D779" t="s">
        <v>36</v>
      </c>
      <c r="E779" t="s">
        <v>37</v>
      </c>
      <c r="F779" t="s">
        <v>38</v>
      </c>
      <c r="G779" t="s">
        <v>39</v>
      </c>
      <c r="H779">
        <v>2023</v>
      </c>
      <c r="I779" t="s">
        <v>271</v>
      </c>
      <c r="M779">
        <v>2023</v>
      </c>
      <c r="O779" t="s">
        <v>45</v>
      </c>
      <c r="Q779" t="s">
        <v>1554</v>
      </c>
      <c r="R779" s="126" t="s">
        <v>1087</v>
      </c>
      <c r="S779" s="126">
        <v>478.08</v>
      </c>
    </row>
    <row r="780" spans="1:19" x14ac:dyDescent="0.3">
      <c r="A780" t="s">
        <v>190</v>
      </c>
      <c r="C780" s="15" t="s">
        <v>1051</v>
      </c>
      <c r="D780" t="s">
        <v>36</v>
      </c>
      <c r="E780" t="s">
        <v>37</v>
      </c>
      <c r="F780" t="s">
        <v>38</v>
      </c>
      <c r="G780" t="s">
        <v>39</v>
      </c>
      <c r="H780">
        <v>2023</v>
      </c>
      <c r="I780" t="s">
        <v>271</v>
      </c>
      <c r="M780">
        <v>2023</v>
      </c>
      <c r="O780" t="s">
        <v>45</v>
      </c>
      <c r="Q780" t="s">
        <v>1555</v>
      </c>
      <c r="R780" s="126" t="s">
        <v>1088</v>
      </c>
      <c r="S780" s="126">
        <v>13526.77</v>
      </c>
    </row>
    <row r="781" spans="1:19" x14ac:dyDescent="0.3">
      <c r="A781" t="s">
        <v>190</v>
      </c>
      <c r="C781" s="15" t="s">
        <v>1051</v>
      </c>
      <c r="D781" t="s">
        <v>36</v>
      </c>
      <c r="E781" t="s">
        <v>37</v>
      </c>
      <c r="F781" t="s">
        <v>38</v>
      </c>
      <c r="G781" t="s">
        <v>39</v>
      </c>
      <c r="H781">
        <v>2023</v>
      </c>
      <c r="I781" t="s">
        <v>271</v>
      </c>
      <c r="M781">
        <v>2023</v>
      </c>
      <c r="O781" t="s">
        <v>45</v>
      </c>
      <c r="Q781" t="s">
        <v>1556</v>
      </c>
      <c r="R781" s="126" t="s">
        <v>1089</v>
      </c>
      <c r="S781" s="127">
        <f>S779+S780</f>
        <v>14004.85</v>
      </c>
    </row>
    <row r="782" spans="1:19" x14ac:dyDescent="0.3">
      <c r="A782" t="s">
        <v>190</v>
      </c>
      <c r="C782" s="15" t="s">
        <v>1051</v>
      </c>
      <c r="D782" t="s">
        <v>36</v>
      </c>
      <c r="E782" t="s">
        <v>37</v>
      </c>
      <c r="F782" t="s">
        <v>38</v>
      </c>
      <c r="G782" t="s">
        <v>39</v>
      </c>
      <c r="H782">
        <v>2023</v>
      </c>
      <c r="I782" t="s">
        <v>271</v>
      </c>
      <c r="M782">
        <v>2023</v>
      </c>
      <c r="O782" t="s">
        <v>45</v>
      </c>
      <c r="Q782" t="s">
        <v>1550</v>
      </c>
      <c r="R782" s="126" t="s">
        <v>1090</v>
      </c>
      <c r="S782" s="126">
        <v>553.63</v>
      </c>
    </row>
    <row r="783" spans="1:19" x14ac:dyDescent="0.3">
      <c r="A783" t="s">
        <v>190</v>
      </c>
      <c r="C783" s="15" t="s">
        <v>1051</v>
      </c>
      <c r="D783" t="s">
        <v>36</v>
      </c>
      <c r="E783" t="s">
        <v>37</v>
      </c>
      <c r="F783" t="s">
        <v>38</v>
      </c>
      <c r="G783" t="s">
        <v>39</v>
      </c>
      <c r="H783">
        <v>2023</v>
      </c>
      <c r="I783" t="s">
        <v>271</v>
      </c>
      <c r="M783">
        <v>2023</v>
      </c>
      <c r="O783" t="s">
        <v>45</v>
      </c>
      <c r="Q783" t="s">
        <v>1551</v>
      </c>
      <c r="R783" s="126" t="s">
        <v>1091</v>
      </c>
      <c r="S783" s="126">
        <v>18653.37</v>
      </c>
    </row>
    <row r="784" spans="1:19" x14ac:dyDescent="0.3">
      <c r="A784" t="s">
        <v>190</v>
      </c>
      <c r="C784" s="15" t="s">
        <v>1051</v>
      </c>
      <c r="D784" t="s">
        <v>36</v>
      </c>
      <c r="E784" t="s">
        <v>37</v>
      </c>
      <c r="F784" t="s">
        <v>38</v>
      </c>
      <c r="G784" t="s">
        <v>39</v>
      </c>
      <c r="H784">
        <v>2023</v>
      </c>
      <c r="I784" t="s">
        <v>271</v>
      </c>
      <c r="M784">
        <v>2023</v>
      </c>
      <c r="O784" t="s">
        <v>45</v>
      </c>
      <c r="Q784" t="s">
        <v>1552</v>
      </c>
      <c r="R784" s="126" t="s">
        <v>1092</v>
      </c>
      <c r="S784" s="127">
        <f>S782+S783</f>
        <v>19207</v>
      </c>
    </row>
    <row r="785" spans="1:19" x14ac:dyDescent="0.3">
      <c r="A785" t="s">
        <v>190</v>
      </c>
      <c r="C785" s="15" t="s">
        <v>1051</v>
      </c>
      <c r="D785" t="s">
        <v>36</v>
      </c>
      <c r="E785" t="s">
        <v>37</v>
      </c>
      <c r="F785" t="s">
        <v>38</v>
      </c>
      <c r="G785" t="s">
        <v>39</v>
      </c>
      <c r="H785">
        <v>2023</v>
      </c>
      <c r="I785" t="s">
        <v>271</v>
      </c>
      <c r="M785">
        <v>2023</v>
      </c>
      <c r="O785" t="s">
        <v>45</v>
      </c>
      <c r="Q785" t="s">
        <v>1550</v>
      </c>
      <c r="R785" s="126" t="s">
        <v>1093</v>
      </c>
      <c r="S785" s="126">
        <v>0.09</v>
      </c>
    </row>
    <row r="786" spans="1:19" x14ac:dyDescent="0.3">
      <c r="A786" t="s">
        <v>190</v>
      </c>
      <c r="C786" s="15" t="s">
        <v>1051</v>
      </c>
      <c r="D786" t="s">
        <v>36</v>
      </c>
      <c r="E786" t="s">
        <v>37</v>
      </c>
      <c r="F786" t="s">
        <v>38</v>
      </c>
      <c r="G786" t="s">
        <v>39</v>
      </c>
      <c r="H786">
        <v>2023</v>
      </c>
      <c r="I786" t="s">
        <v>271</v>
      </c>
      <c r="M786">
        <v>2023</v>
      </c>
      <c r="O786" t="s">
        <v>45</v>
      </c>
      <c r="Q786" t="s">
        <v>1551</v>
      </c>
      <c r="R786" s="126" t="s">
        <v>1094</v>
      </c>
      <c r="S786" s="126">
        <v>1936.56</v>
      </c>
    </row>
    <row r="787" spans="1:19" x14ac:dyDescent="0.3">
      <c r="A787" t="s">
        <v>190</v>
      </c>
      <c r="C787" s="15" t="s">
        <v>1051</v>
      </c>
      <c r="D787" t="s">
        <v>36</v>
      </c>
      <c r="E787" t="s">
        <v>37</v>
      </c>
      <c r="F787" t="s">
        <v>38</v>
      </c>
      <c r="G787" t="s">
        <v>39</v>
      </c>
      <c r="H787">
        <v>2023</v>
      </c>
      <c r="I787" t="s">
        <v>271</v>
      </c>
      <c r="M787">
        <v>2023</v>
      </c>
      <c r="O787" t="s">
        <v>45</v>
      </c>
      <c r="Q787" t="s">
        <v>1552</v>
      </c>
      <c r="R787" s="126" t="s">
        <v>1095</v>
      </c>
      <c r="S787" s="127">
        <f>S785+S786</f>
        <v>1936.6499999999999</v>
      </c>
    </row>
    <row r="788" spans="1:19" x14ac:dyDescent="0.3">
      <c r="A788" t="s">
        <v>190</v>
      </c>
      <c r="C788" s="15" t="s">
        <v>1051</v>
      </c>
      <c r="D788" t="s">
        <v>36</v>
      </c>
      <c r="E788" t="s">
        <v>37</v>
      </c>
      <c r="F788" t="s">
        <v>38</v>
      </c>
      <c r="G788" t="s">
        <v>39</v>
      </c>
      <c r="H788">
        <v>2023</v>
      </c>
      <c r="I788" t="s">
        <v>271</v>
      </c>
      <c r="M788">
        <v>2023</v>
      </c>
      <c r="O788" t="s">
        <v>45</v>
      </c>
      <c r="Q788" t="s">
        <v>1563</v>
      </c>
      <c r="R788" s="126" t="s">
        <v>1096</v>
      </c>
      <c r="S788" s="126">
        <v>1144.26</v>
      </c>
    </row>
    <row r="789" spans="1:19" x14ac:dyDescent="0.3">
      <c r="A789" t="s">
        <v>190</v>
      </c>
      <c r="C789" s="15" t="s">
        <v>1051</v>
      </c>
      <c r="D789" t="s">
        <v>36</v>
      </c>
      <c r="E789" t="s">
        <v>37</v>
      </c>
      <c r="F789" t="s">
        <v>38</v>
      </c>
      <c r="G789" t="s">
        <v>39</v>
      </c>
      <c r="H789">
        <v>2023</v>
      </c>
      <c r="I789" t="s">
        <v>271</v>
      </c>
      <c r="M789">
        <v>2023</v>
      </c>
      <c r="O789" t="s">
        <v>45</v>
      </c>
      <c r="Q789" t="s">
        <v>1554</v>
      </c>
      <c r="R789" s="126" t="s">
        <v>1097</v>
      </c>
      <c r="S789" s="126">
        <v>41337.22</v>
      </c>
    </row>
    <row r="790" spans="1:19" x14ac:dyDescent="0.3">
      <c r="A790" t="s">
        <v>190</v>
      </c>
      <c r="C790" s="15" t="s">
        <v>1051</v>
      </c>
      <c r="D790" t="s">
        <v>36</v>
      </c>
      <c r="E790" t="s">
        <v>37</v>
      </c>
      <c r="F790" t="s">
        <v>38</v>
      </c>
      <c r="G790" t="s">
        <v>39</v>
      </c>
      <c r="H790">
        <v>2023</v>
      </c>
      <c r="I790" t="s">
        <v>271</v>
      </c>
      <c r="M790">
        <v>2023</v>
      </c>
      <c r="O790" t="s">
        <v>45</v>
      </c>
      <c r="Q790" t="s">
        <v>1564</v>
      </c>
      <c r="R790" s="126" t="s">
        <v>1098</v>
      </c>
      <c r="S790" s="127">
        <f>S788+S789</f>
        <v>42481.48</v>
      </c>
    </row>
    <row r="791" spans="1:19" x14ac:dyDescent="0.3">
      <c r="A791" t="s">
        <v>190</v>
      </c>
      <c r="C791" s="15" t="s">
        <v>1051</v>
      </c>
      <c r="D791" t="s">
        <v>36</v>
      </c>
      <c r="E791" t="s">
        <v>37</v>
      </c>
      <c r="F791" t="s">
        <v>38</v>
      </c>
      <c r="G791" t="s">
        <v>39</v>
      </c>
      <c r="H791">
        <v>2023</v>
      </c>
      <c r="I791" t="s">
        <v>271</v>
      </c>
      <c r="M791">
        <v>2023</v>
      </c>
      <c r="O791" t="s">
        <v>45</v>
      </c>
      <c r="Q791" t="s">
        <v>1550</v>
      </c>
      <c r="R791" s="126" t="s">
        <v>1099</v>
      </c>
      <c r="S791" s="126">
        <v>1119.8399999999999</v>
      </c>
    </row>
    <row r="792" spans="1:19" x14ac:dyDescent="0.3">
      <c r="A792" t="s">
        <v>190</v>
      </c>
      <c r="C792" s="15" t="s">
        <v>1051</v>
      </c>
      <c r="D792" t="s">
        <v>36</v>
      </c>
      <c r="E792" t="s">
        <v>37</v>
      </c>
      <c r="F792" t="s">
        <v>38</v>
      </c>
      <c r="G792" t="s">
        <v>39</v>
      </c>
      <c r="H792">
        <v>2023</v>
      </c>
      <c r="I792" t="s">
        <v>271</v>
      </c>
      <c r="M792">
        <v>2023</v>
      </c>
      <c r="O792" t="s">
        <v>45</v>
      </c>
      <c r="Q792" t="s">
        <v>1551</v>
      </c>
      <c r="R792" s="126" t="s">
        <v>1100</v>
      </c>
      <c r="S792" s="126">
        <v>5712.3</v>
      </c>
    </row>
    <row r="793" spans="1:19" x14ac:dyDescent="0.3">
      <c r="A793" t="s">
        <v>190</v>
      </c>
      <c r="C793" s="15" t="s">
        <v>1051</v>
      </c>
      <c r="D793" t="s">
        <v>36</v>
      </c>
      <c r="E793" t="s">
        <v>37</v>
      </c>
      <c r="F793" t="s">
        <v>38</v>
      </c>
      <c r="G793" t="s">
        <v>39</v>
      </c>
      <c r="H793">
        <v>2023</v>
      </c>
      <c r="I793" t="s">
        <v>271</v>
      </c>
      <c r="M793">
        <v>2023</v>
      </c>
      <c r="O793" t="s">
        <v>45</v>
      </c>
      <c r="Q793" t="s">
        <v>1552</v>
      </c>
      <c r="R793" s="126" t="s">
        <v>1101</v>
      </c>
      <c r="S793" s="127">
        <f>S791+S792</f>
        <v>6832.14</v>
      </c>
    </row>
    <row r="794" spans="1:19" x14ac:dyDescent="0.3">
      <c r="A794" t="s">
        <v>190</v>
      </c>
      <c r="C794" s="15" t="s">
        <v>1051</v>
      </c>
      <c r="D794" t="s">
        <v>36</v>
      </c>
      <c r="E794" t="s">
        <v>37</v>
      </c>
      <c r="F794" t="s">
        <v>38</v>
      </c>
      <c r="G794" t="s">
        <v>39</v>
      </c>
      <c r="H794">
        <v>2023</v>
      </c>
      <c r="I794" t="s">
        <v>271</v>
      </c>
      <c r="M794">
        <v>2023</v>
      </c>
      <c r="O794" t="s">
        <v>45</v>
      </c>
      <c r="Q794" t="s">
        <v>1565</v>
      </c>
      <c r="R794" s="126" t="s">
        <v>1102</v>
      </c>
      <c r="S794" s="126">
        <v>105603.55</v>
      </c>
    </row>
    <row r="795" spans="1:19" x14ac:dyDescent="0.3">
      <c r="A795" t="s">
        <v>190</v>
      </c>
      <c r="C795" s="15" t="s">
        <v>1051</v>
      </c>
      <c r="D795" t="s">
        <v>36</v>
      </c>
      <c r="E795" t="s">
        <v>37</v>
      </c>
      <c r="F795" t="s">
        <v>38</v>
      </c>
      <c r="G795" t="s">
        <v>39</v>
      </c>
      <c r="H795">
        <v>2023</v>
      </c>
      <c r="I795" t="s">
        <v>271</v>
      </c>
      <c r="M795">
        <v>2023</v>
      </c>
      <c r="O795" t="s">
        <v>45</v>
      </c>
      <c r="Q795" t="s">
        <v>1550</v>
      </c>
      <c r="R795" s="126" t="s">
        <v>1103</v>
      </c>
      <c r="S795" s="126">
        <v>369734.71</v>
      </c>
    </row>
    <row r="796" spans="1:19" x14ac:dyDescent="0.3">
      <c r="A796" t="s">
        <v>190</v>
      </c>
      <c r="C796" s="15" t="s">
        <v>1051</v>
      </c>
      <c r="D796" t="s">
        <v>36</v>
      </c>
      <c r="E796" t="s">
        <v>37</v>
      </c>
      <c r="F796" t="s">
        <v>38</v>
      </c>
      <c r="G796" t="s">
        <v>39</v>
      </c>
      <c r="H796">
        <v>2023</v>
      </c>
      <c r="I796" t="s">
        <v>271</v>
      </c>
      <c r="M796">
        <v>2023</v>
      </c>
      <c r="O796" t="s">
        <v>45</v>
      </c>
      <c r="Q796" t="s">
        <v>1566</v>
      </c>
      <c r="R796" s="126" t="s">
        <v>1104</v>
      </c>
      <c r="S796" s="127">
        <f>S794+S795</f>
        <v>475338.26</v>
      </c>
    </row>
    <row r="797" spans="1:19" x14ac:dyDescent="0.3">
      <c r="A797" t="s">
        <v>190</v>
      </c>
      <c r="C797" s="15" t="s">
        <v>1051</v>
      </c>
      <c r="D797" t="s">
        <v>36</v>
      </c>
      <c r="E797" t="s">
        <v>37</v>
      </c>
      <c r="F797" t="s">
        <v>38</v>
      </c>
      <c r="G797" t="s">
        <v>39</v>
      </c>
      <c r="H797">
        <v>2023</v>
      </c>
      <c r="I797" t="s">
        <v>271</v>
      </c>
      <c r="M797">
        <v>2023</v>
      </c>
      <c r="O797" t="s">
        <v>45</v>
      </c>
      <c r="Q797" t="s">
        <v>1550</v>
      </c>
      <c r="R797" s="126" t="s">
        <v>1105</v>
      </c>
      <c r="S797" s="126">
        <v>19.399999999999999</v>
      </c>
    </row>
    <row r="798" spans="1:19" x14ac:dyDescent="0.3">
      <c r="A798" t="s">
        <v>190</v>
      </c>
      <c r="C798" s="15" t="s">
        <v>1051</v>
      </c>
      <c r="D798" t="s">
        <v>36</v>
      </c>
      <c r="E798" t="s">
        <v>37</v>
      </c>
      <c r="F798" t="s">
        <v>38</v>
      </c>
      <c r="G798" t="s">
        <v>39</v>
      </c>
      <c r="H798">
        <v>2023</v>
      </c>
      <c r="I798" t="s">
        <v>271</v>
      </c>
      <c r="M798">
        <v>2023</v>
      </c>
      <c r="O798" t="s">
        <v>45</v>
      </c>
      <c r="Q798" t="s">
        <v>1551</v>
      </c>
      <c r="R798" s="126" t="s">
        <v>1106</v>
      </c>
      <c r="S798" s="126">
        <v>0</v>
      </c>
    </row>
    <row r="799" spans="1:19" x14ac:dyDescent="0.3">
      <c r="A799" t="s">
        <v>190</v>
      </c>
      <c r="C799" s="15" t="s">
        <v>1051</v>
      </c>
      <c r="D799" t="s">
        <v>36</v>
      </c>
      <c r="E799" t="s">
        <v>37</v>
      </c>
      <c r="F799" t="s">
        <v>38</v>
      </c>
      <c r="G799" t="s">
        <v>39</v>
      </c>
      <c r="H799">
        <v>2023</v>
      </c>
      <c r="I799" t="s">
        <v>271</v>
      </c>
      <c r="M799">
        <v>2023</v>
      </c>
      <c r="O799" t="s">
        <v>45</v>
      </c>
      <c r="Q799" t="s">
        <v>1552</v>
      </c>
      <c r="R799" s="126" t="s">
        <v>1107</v>
      </c>
      <c r="S799" s="127">
        <f>S797+S798</f>
        <v>19.399999999999999</v>
      </c>
    </row>
    <row r="800" spans="1:19" x14ac:dyDescent="0.3">
      <c r="A800" t="s">
        <v>190</v>
      </c>
      <c r="C800" s="15" t="s">
        <v>1051</v>
      </c>
      <c r="D800" t="s">
        <v>36</v>
      </c>
      <c r="E800" t="s">
        <v>37</v>
      </c>
      <c r="F800" t="s">
        <v>38</v>
      </c>
      <c r="G800" t="s">
        <v>39</v>
      </c>
      <c r="H800">
        <v>2023</v>
      </c>
      <c r="I800" t="s">
        <v>271</v>
      </c>
      <c r="M800">
        <v>2023</v>
      </c>
      <c r="O800" t="s">
        <v>45</v>
      </c>
      <c r="Q800" t="s">
        <v>1550</v>
      </c>
      <c r="R800" s="126" t="s">
        <v>1108</v>
      </c>
      <c r="S800" s="126">
        <v>0</v>
      </c>
    </row>
    <row r="801" spans="1:19" x14ac:dyDescent="0.3">
      <c r="A801" t="s">
        <v>190</v>
      </c>
      <c r="C801" s="15" t="s">
        <v>1051</v>
      </c>
      <c r="D801" t="s">
        <v>36</v>
      </c>
      <c r="E801" t="s">
        <v>37</v>
      </c>
      <c r="F801" t="s">
        <v>38</v>
      </c>
      <c r="G801" t="s">
        <v>39</v>
      </c>
      <c r="H801">
        <v>2023</v>
      </c>
      <c r="I801" t="s">
        <v>271</v>
      </c>
      <c r="M801">
        <v>2023</v>
      </c>
      <c r="O801" t="s">
        <v>45</v>
      </c>
      <c r="Q801" t="s">
        <v>1551</v>
      </c>
      <c r="R801" s="126" t="s">
        <v>1109</v>
      </c>
      <c r="S801" s="126">
        <v>290.92</v>
      </c>
    </row>
    <row r="802" spans="1:19" x14ac:dyDescent="0.3">
      <c r="A802" t="s">
        <v>190</v>
      </c>
      <c r="C802" s="15" t="s">
        <v>1051</v>
      </c>
      <c r="D802" t="s">
        <v>36</v>
      </c>
      <c r="E802" t="s">
        <v>37</v>
      </c>
      <c r="F802" t="s">
        <v>38</v>
      </c>
      <c r="G802" t="s">
        <v>39</v>
      </c>
      <c r="H802">
        <v>2023</v>
      </c>
      <c r="I802" t="s">
        <v>271</v>
      </c>
      <c r="M802">
        <v>2023</v>
      </c>
      <c r="O802" t="s">
        <v>45</v>
      </c>
      <c r="Q802" t="s">
        <v>1552</v>
      </c>
      <c r="R802" s="126" t="s">
        <v>1110</v>
      </c>
      <c r="S802" s="127">
        <f>S800+S801</f>
        <v>290.92</v>
      </c>
    </row>
    <row r="803" spans="1:19" x14ac:dyDescent="0.3">
      <c r="A803" t="s">
        <v>190</v>
      </c>
      <c r="C803" s="15" t="s">
        <v>1051</v>
      </c>
      <c r="D803" t="s">
        <v>36</v>
      </c>
      <c r="E803" t="s">
        <v>37</v>
      </c>
      <c r="F803" t="s">
        <v>38</v>
      </c>
      <c r="G803" t="s">
        <v>39</v>
      </c>
      <c r="H803">
        <v>2023</v>
      </c>
      <c r="I803" t="s">
        <v>271</v>
      </c>
      <c r="M803">
        <v>2023</v>
      </c>
      <c r="O803" t="s">
        <v>45</v>
      </c>
      <c r="Q803" t="s">
        <v>1550</v>
      </c>
      <c r="R803" s="126" t="s">
        <v>1111</v>
      </c>
      <c r="S803" s="126">
        <v>5546.71</v>
      </c>
    </row>
    <row r="804" spans="1:19" x14ac:dyDescent="0.3">
      <c r="A804" t="s">
        <v>190</v>
      </c>
      <c r="C804" s="15" t="s">
        <v>1051</v>
      </c>
      <c r="D804" t="s">
        <v>36</v>
      </c>
      <c r="E804" t="s">
        <v>37</v>
      </c>
      <c r="F804" t="s">
        <v>38</v>
      </c>
      <c r="G804" t="s">
        <v>39</v>
      </c>
      <c r="H804">
        <v>2023</v>
      </c>
      <c r="I804" t="s">
        <v>271</v>
      </c>
      <c r="M804">
        <v>2023</v>
      </c>
      <c r="O804" t="s">
        <v>45</v>
      </c>
      <c r="Q804" t="s">
        <v>1551</v>
      </c>
      <c r="R804" s="126" t="s">
        <v>1112</v>
      </c>
      <c r="S804" s="126">
        <v>99782.04</v>
      </c>
    </row>
    <row r="805" spans="1:19" x14ac:dyDescent="0.3">
      <c r="A805" t="s">
        <v>190</v>
      </c>
      <c r="C805" s="15" t="s">
        <v>1051</v>
      </c>
      <c r="D805" t="s">
        <v>36</v>
      </c>
      <c r="E805" t="s">
        <v>37</v>
      </c>
      <c r="F805" t="s">
        <v>38</v>
      </c>
      <c r="G805" t="s">
        <v>39</v>
      </c>
      <c r="H805">
        <v>2023</v>
      </c>
      <c r="I805" t="s">
        <v>271</v>
      </c>
      <c r="M805">
        <v>2023</v>
      </c>
      <c r="O805" t="s">
        <v>45</v>
      </c>
      <c r="Q805" t="s">
        <v>1552</v>
      </c>
      <c r="R805" s="126" t="s">
        <v>1113</v>
      </c>
      <c r="S805" s="127">
        <f>S803+S804</f>
        <v>105328.75</v>
      </c>
    </row>
    <row r="806" spans="1:19" x14ac:dyDescent="0.3">
      <c r="A806" t="s">
        <v>190</v>
      </c>
      <c r="C806" s="15" t="s">
        <v>1051</v>
      </c>
      <c r="D806" t="s">
        <v>36</v>
      </c>
      <c r="E806" t="s">
        <v>37</v>
      </c>
      <c r="F806" t="s">
        <v>38</v>
      </c>
      <c r="G806" t="s">
        <v>39</v>
      </c>
      <c r="H806">
        <v>2023</v>
      </c>
      <c r="I806" t="s">
        <v>271</v>
      </c>
      <c r="M806">
        <v>2023</v>
      </c>
      <c r="O806" t="s">
        <v>45</v>
      </c>
      <c r="Q806" t="s">
        <v>1563</v>
      </c>
      <c r="R806" s="126" t="s">
        <v>1114</v>
      </c>
      <c r="S806" s="126">
        <v>5291.03</v>
      </c>
    </row>
    <row r="807" spans="1:19" x14ac:dyDescent="0.3">
      <c r="A807" t="s">
        <v>190</v>
      </c>
      <c r="C807" s="15" t="s">
        <v>1051</v>
      </c>
      <c r="D807" t="s">
        <v>36</v>
      </c>
      <c r="E807" t="s">
        <v>37</v>
      </c>
      <c r="F807" t="s">
        <v>38</v>
      </c>
      <c r="G807" t="s">
        <v>39</v>
      </c>
      <c r="H807">
        <v>2023</v>
      </c>
      <c r="I807" t="s">
        <v>271</v>
      </c>
      <c r="M807">
        <v>2023</v>
      </c>
      <c r="O807" t="s">
        <v>45</v>
      </c>
      <c r="Q807" t="s">
        <v>1554</v>
      </c>
      <c r="R807" s="126" t="s">
        <v>1115</v>
      </c>
      <c r="S807" s="126">
        <v>58284.17</v>
      </c>
    </row>
    <row r="808" spans="1:19" x14ac:dyDescent="0.3">
      <c r="A808" t="s">
        <v>190</v>
      </c>
      <c r="C808" s="15" t="s">
        <v>1051</v>
      </c>
      <c r="D808" t="s">
        <v>36</v>
      </c>
      <c r="E808" t="s">
        <v>37</v>
      </c>
      <c r="F808" t="s">
        <v>38</v>
      </c>
      <c r="G808" t="s">
        <v>39</v>
      </c>
      <c r="H808">
        <v>2023</v>
      </c>
      <c r="I808" t="s">
        <v>271</v>
      </c>
      <c r="M808">
        <v>2023</v>
      </c>
      <c r="O808" t="s">
        <v>45</v>
      </c>
      <c r="Q808" t="s">
        <v>1564</v>
      </c>
      <c r="R808" s="126" t="s">
        <v>1116</v>
      </c>
      <c r="S808" s="127">
        <f>S806+S807</f>
        <v>63575.199999999997</v>
      </c>
    </row>
    <row r="809" spans="1:19" x14ac:dyDescent="0.3">
      <c r="A809" t="s">
        <v>190</v>
      </c>
      <c r="C809" s="15" t="s">
        <v>1051</v>
      </c>
      <c r="D809" t="s">
        <v>36</v>
      </c>
      <c r="E809" t="s">
        <v>37</v>
      </c>
      <c r="F809" t="s">
        <v>38</v>
      </c>
      <c r="G809" t="s">
        <v>39</v>
      </c>
      <c r="H809">
        <v>2023</v>
      </c>
      <c r="I809" t="s">
        <v>271</v>
      </c>
      <c r="M809">
        <v>2023</v>
      </c>
      <c r="O809" t="s">
        <v>45</v>
      </c>
      <c r="Q809" t="s">
        <v>1567</v>
      </c>
      <c r="R809" s="127" t="s">
        <v>1117</v>
      </c>
      <c r="S809" s="64">
        <f>S764+S767+S770+S773+S776+S779+S782+S785</f>
        <v>24998.560000000001</v>
      </c>
    </row>
    <row r="810" spans="1:19" x14ac:dyDescent="0.3">
      <c r="A810" t="s">
        <v>190</v>
      </c>
      <c r="C810" s="15" t="s">
        <v>1051</v>
      </c>
      <c r="D810" t="s">
        <v>36</v>
      </c>
      <c r="E810" t="s">
        <v>37</v>
      </c>
      <c r="F810" t="s">
        <v>38</v>
      </c>
      <c r="G810" t="s">
        <v>39</v>
      </c>
      <c r="H810">
        <v>2023</v>
      </c>
      <c r="I810" t="s">
        <v>271</v>
      </c>
      <c r="M810">
        <v>2023</v>
      </c>
      <c r="O810" t="s">
        <v>45</v>
      </c>
      <c r="Q810" t="s">
        <v>1568</v>
      </c>
      <c r="R810" s="127" t="s">
        <v>1118</v>
      </c>
      <c r="S810" s="64">
        <f>S765+S768+S771+S774+S777+S780+S783+S786</f>
        <v>127046.09999999999</v>
      </c>
    </row>
    <row r="811" spans="1:19" x14ac:dyDescent="0.3">
      <c r="A811" t="s">
        <v>190</v>
      </c>
      <c r="C811" s="15" t="s">
        <v>1051</v>
      </c>
      <c r="D811" t="s">
        <v>36</v>
      </c>
      <c r="E811" t="s">
        <v>37</v>
      </c>
      <c r="F811" t="s">
        <v>38</v>
      </c>
      <c r="G811" t="s">
        <v>39</v>
      </c>
      <c r="H811">
        <v>2023</v>
      </c>
      <c r="I811" t="s">
        <v>271</v>
      </c>
      <c r="M811">
        <v>2023</v>
      </c>
      <c r="O811" t="s">
        <v>45</v>
      </c>
      <c r="Q811" t="s">
        <v>1569</v>
      </c>
      <c r="R811" s="127" t="s">
        <v>1119</v>
      </c>
      <c r="S811" s="64">
        <f>S766+S769+S772+S775+S778+S781+S784+S787</f>
        <v>152044.66</v>
      </c>
    </row>
    <row r="812" spans="1:19" x14ac:dyDescent="0.3">
      <c r="A812" t="s">
        <v>190</v>
      </c>
      <c r="C812" s="15" t="s">
        <v>1051</v>
      </c>
      <c r="D812" t="s">
        <v>36</v>
      </c>
      <c r="E812" t="s">
        <v>37</v>
      </c>
      <c r="F812" t="s">
        <v>38</v>
      </c>
      <c r="G812" t="s">
        <v>39</v>
      </c>
      <c r="H812">
        <v>2023</v>
      </c>
      <c r="I812" t="s">
        <v>271</v>
      </c>
      <c r="M812">
        <v>2023</v>
      </c>
      <c r="O812" t="s">
        <v>45</v>
      </c>
      <c r="Q812" t="s">
        <v>1567</v>
      </c>
      <c r="R812" s="127" t="s">
        <v>1120</v>
      </c>
      <c r="S812" s="64">
        <f>S788+S791+S794+S797</f>
        <v>107887.05</v>
      </c>
    </row>
    <row r="813" spans="1:19" x14ac:dyDescent="0.3">
      <c r="A813" t="s">
        <v>190</v>
      </c>
      <c r="C813" s="15" t="s">
        <v>1051</v>
      </c>
      <c r="D813" t="s">
        <v>36</v>
      </c>
      <c r="E813" t="s">
        <v>37</v>
      </c>
      <c r="F813" t="s">
        <v>38</v>
      </c>
      <c r="G813" t="s">
        <v>39</v>
      </c>
      <c r="H813">
        <v>2023</v>
      </c>
      <c r="I813" t="s">
        <v>271</v>
      </c>
      <c r="M813">
        <v>2023</v>
      </c>
      <c r="O813" t="s">
        <v>45</v>
      </c>
      <c r="Q813" t="s">
        <v>1568</v>
      </c>
      <c r="R813" s="127" t="s">
        <v>1121</v>
      </c>
      <c r="S813" s="64">
        <f t="shared" ref="S813:S814" si="8">S789+S792+S795+S798</f>
        <v>416784.23000000004</v>
      </c>
    </row>
    <row r="814" spans="1:19" x14ac:dyDescent="0.3">
      <c r="A814" t="s">
        <v>190</v>
      </c>
      <c r="C814" s="15" t="s">
        <v>1051</v>
      </c>
      <c r="D814" t="s">
        <v>36</v>
      </c>
      <c r="E814" t="s">
        <v>37</v>
      </c>
      <c r="F814" t="s">
        <v>38</v>
      </c>
      <c r="G814" t="s">
        <v>39</v>
      </c>
      <c r="H814">
        <v>2023</v>
      </c>
      <c r="I814" t="s">
        <v>271</v>
      </c>
      <c r="M814">
        <v>2023</v>
      </c>
      <c r="O814" t="s">
        <v>45</v>
      </c>
      <c r="Q814" t="s">
        <v>1569</v>
      </c>
      <c r="R814" s="127" t="s">
        <v>1122</v>
      </c>
      <c r="S814" s="64">
        <f t="shared" si="8"/>
        <v>524671.28</v>
      </c>
    </row>
    <row r="815" spans="1:19" x14ac:dyDescent="0.3">
      <c r="A815" t="s">
        <v>190</v>
      </c>
      <c r="C815" s="15" t="s">
        <v>1051</v>
      </c>
      <c r="D815" t="s">
        <v>36</v>
      </c>
      <c r="E815" t="s">
        <v>37</v>
      </c>
      <c r="F815" t="s">
        <v>38</v>
      </c>
      <c r="G815" t="s">
        <v>39</v>
      </c>
      <c r="H815">
        <v>2023</v>
      </c>
      <c r="I815" t="s">
        <v>271</v>
      </c>
      <c r="M815">
        <v>2023</v>
      </c>
      <c r="O815" t="s">
        <v>45</v>
      </c>
      <c r="Q815" t="s">
        <v>1567</v>
      </c>
      <c r="R815" s="127" t="s">
        <v>1123</v>
      </c>
      <c r="S815" s="64">
        <f>S800+S803+S806</f>
        <v>10837.74</v>
      </c>
    </row>
    <row r="816" spans="1:19" x14ac:dyDescent="0.3">
      <c r="A816" t="s">
        <v>190</v>
      </c>
      <c r="C816" s="15" t="s">
        <v>1051</v>
      </c>
      <c r="D816" t="s">
        <v>36</v>
      </c>
      <c r="E816" t="s">
        <v>37</v>
      </c>
      <c r="F816" t="s">
        <v>38</v>
      </c>
      <c r="G816" t="s">
        <v>39</v>
      </c>
      <c r="H816">
        <v>2023</v>
      </c>
      <c r="I816" t="s">
        <v>271</v>
      </c>
      <c r="M816">
        <v>2023</v>
      </c>
      <c r="O816" t="s">
        <v>45</v>
      </c>
      <c r="Q816" t="s">
        <v>1568</v>
      </c>
      <c r="R816" s="127" t="s">
        <v>1124</v>
      </c>
      <c r="S816" s="64">
        <f t="shared" ref="S816:S817" si="9">S801+S804+S807</f>
        <v>158357.13</v>
      </c>
    </row>
    <row r="817" spans="1:19" x14ac:dyDescent="0.3">
      <c r="A817" t="s">
        <v>190</v>
      </c>
      <c r="C817" s="15" t="s">
        <v>1051</v>
      </c>
      <c r="D817" t="s">
        <v>36</v>
      </c>
      <c r="E817" t="s">
        <v>37</v>
      </c>
      <c r="F817" t="s">
        <v>38</v>
      </c>
      <c r="G817" t="s">
        <v>39</v>
      </c>
      <c r="H817">
        <v>2023</v>
      </c>
      <c r="I817" t="s">
        <v>271</v>
      </c>
      <c r="M817">
        <v>2023</v>
      </c>
      <c r="O817" t="s">
        <v>45</v>
      </c>
      <c r="Q817" t="s">
        <v>1569</v>
      </c>
      <c r="R817" s="127" t="s">
        <v>1125</v>
      </c>
      <c r="S817" s="64">
        <f t="shared" si="9"/>
        <v>169194.87</v>
      </c>
    </row>
    <row r="818" spans="1:19" x14ac:dyDescent="0.3">
      <c r="A818" t="s">
        <v>190</v>
      </c>
      <c r="C818" s="15" t="s">
        <v>1051</v>
      </c>
      <c r="D818" t="s">
        <v>36</v>
      </c>
      <c r="E818" t="s">
        <v>37</v>
      </c>
      <c r="F818" t="s">
        <v>38</v>
      </c>
      <c r="G818" t="s">
        <v>39</v>
      </c>
      <c r="H818">
        <v>2023</v>
      </c>
      <c r="I818" t="s">
        <v>271</v>
      </c>
      <c r="M818">
        <v>2023</v>
      </c>
      <c r="O818" t="s">
        <v>45</v>
      </c>
      <c r="R818" s="142" t="s">
        <v>1126</v>
      </c>
      <c r="S818" s="143">
        <f>(S811/S755)*100</f>
        <v>38.43878300738308</v>
      </c>
    </row>
    <row r="819" spans="1:19" x14ac:dyDescent="0.3">
      <c r="A819" t="s">
        <v>190</v>
      </c>
      <c r="C819" s="15" t="s">
        <v>1051</v>
      </c>
      <c r="D819" t="s">
        <v>36</v>
      </c>
      <c r="E819" t="s">
        <v>37</v>
      </c>
      <c r="F819" t="s">
        <v>38</v>
      </c>
      <c r="G819" t="s">
        <v>39</v>
      </c>
      <c r="H819">
        <v>2023</v>
      </c>
      <c r="I819" t="s">
        <v>271</v>
      </c>
      <c r="M819">
        <v>2023</v>
      </c>
      <c r="O819" t="s">
        <v>45</v>
      </c>
      <c r="R819" s="142" t="s">
        <v>1127</v>
      </c>
      <c r="S819" s="143">
        <f>(S814/S759)*100</f>
        <v>74.888235999893467</v>
      </c>
    </row>
    <row r="820" spans="1:19" x14ac:dyDescent="0.3">
      <c r="A820" t="s">
        <v>190</v>
      </c>
      <c r="C820" s="15" t="s">
        <v>1051</v>
      </c>
      <c r="D820" t="s">
        <v>36</v>
      </c>
      <c r="E820" t="s">
        <v>37</v>
      </c>
      <c r="F820" t="s">
        <v>38</v>
      </c>
      <c r="G820" t="s">
        <v>39</v>
      </c>
      <c r="H820">
        <v>2023</v>
      </c>
      <c r="I820" t="s">
        <v>271</v>
      </c>
      <c r="M820">
        <v>2023</v>
      </c>
      <c r="O820" t="s">
        <v>45</v>
      </c>
      <c r="R820" s="144" t="s">
        <v>1128</v>
      </c>
      <c r="S820" s="143">
        <f>(S817/S763)*100</f>
        <v>48.77765599650958</v>
      </c>
    </row>
    <row r="821" spans="1:19" x14ac:dyDescent="0.3">
      <c r="A821" t="s">
        <v>190</v>
      </c>
      <c r="C821" s="15" t="s">
        <v>1051</v>
      </c>
      <c r="D821" t="s">
        <v>36</v>
      </c>
      <c r="E821" t="s">
        <v>37</v>
      </c>
      <c r="F821" t="s">
        <v>38</v>
      </c>
      <c r="G821" t="s">
        <v>39</v>
      </c>
      <c r="H821">
        <v>2023</v>
      </c>
      <c r="I821" t="s">
        <v>271</v>
      </c>
      <c r="M821">
        <v>2023</v>
      </c>
      <c r="O821" t="s">
        <v>45</v>
      </c>
      <c r="Q821" t="s">
        <v>1570</v>
      </c>
      <c r="R821" s="145" t="s">
        <v>1129</v>
      </c>
      <c r="S821" s="143" t="str">
        <f>IF(S818=0,"Nula",IF(S818&lt;20,"Baja",IF(S818&lt;50,"Moderada","Alta")))</f>
        <v>Moderada</v>
      </c>
    </row>
    <row r="822" spans="1:19" x14ac:dyDescent="0.3">
      <c r="A822" t="s">
        <v>190</v>
      </c>
      <c r="C822" s="15" t="s">
        <v>1051</v>
      </c>
      <c r="D822" t="s">
        <v>36</v>
      </c>
      <c r="E822" t="s">
        <v>37</v>
      </c>
      <c r="F822" t="s">
        <v>38</v>
      </c>
      <c r="G822" t="s">
        <v>39</v>
      </c>
      <c r="H822">
        <v>2023</v>
      </c>
      <c r="I822" t="s">
        <v>271</v>
      </c>
      <c r="M822">
        <v>2023</v>
      </c>
      <c r="O822" t="s">
        <v>45</v>
      </c>
      <c r="Q822" t="s">
        <v>1570</v>
      </c>
      <c r="R822" s="145" t="s">
        <v>1130</v>
      </c>
      <c r="S822" s="143" t="str">
        <f>IF(S819=0,"Nula",IF(S819&lt;20,"Baja",IF(S819&lt;50,"Moderada","Alta")))</f>
        <v>Alta</v>
      </c>
    </row>
    <row r="823" spans="1:19" x14ac:dyDescent="0.3">
      <c r="A823" t="s">
        <v>190</v>
      </c>
      <c r="C823" s="15" t="s">
        <v>1051</v>
      </c>
      <c r="D823" t="s">
        <v>36</v>
      </c>
      <c r="E823" t="s">
        <v>37</v>
      </c>
      <c r="F823" t="s">
        <v>38</v>
      </c>
      <c r="G823" t="s">
        <v>39</v>
      </c>
      <c r="H823">
        <v>2023</v>
      </c>
      <c r="I823" t="s">
        <v>271</v>
      </c>
      <c r="M823">
        <v>2023</v>
      </c>
      <c r="O823" t="s">
        <v>45</v>
      </c>
      <c r="Q823" t="s">
        <v>1570</v>
      </c>
      <c r="R823" s="145" t="s">
        <v>1131</v>
      </c>
      <c r="S823" s="143" t="str">
        <f>IF(S820=0,"Nula",IF(S820&lt;20,"Baja",IF(S820&lt;50,"Moderada","Alta")))</f>
        <v>Moderada</v>
      </c>
    </row>
    <row r="824" spans="1:19" x14ac:dyDescent="0.3">
      <c r="A824" t="s">
        <v>190</v>
      </c>
      <c r="C824" s="15" t="s">
        <v>1133</v>
      </c>
      <c r="D824" t="s">
        <v>36</v>
      </c>
      <c r="E824" t="s">
        <v>37</v>
      </c>
      <c r="F824" t="s">
        <v>38</v>
      </c>
      <c r="G824" t="s">
        <v>39</v>
      </c>
      <c r="H824">
        <v>2023</v>
      </c>
      <c r="I824" t="s">
        <v>271</v>
      </c>
      <c r="M824">
        <v>2023</v>
      </c>
      <c r="O824" t="s">
        <v>45</v>
      </c>
      <c r="Q824" t="s">
        <v>1571</v>
      </c>
      <c r="R824" s="126" t="s">
        <v>1134</v>
      </c>
      <c r="S824" s="126">
        <v>8</v>
      </c>
    </row>
    <row r="825" spans="1:19" x14ac:dyDescent="0.3">
      <c r="A825" t="s">
        <v>190</v>
      </c>
      <c r="C825" s="15" t="s">
        <v>1133</v>
      </c>
      <c r="D825" t="s">
        <v>36</v>
      </c>
      <c r="E825" t="s">
        <v>37</v>
      </c>
      <c r="F825" t="s">
        <v>38</v>
      </c>
      <c r="G825" t="s">
        <v>39</v>
      </c>
      <c r="H825">
        <v>2023</v>
      </c>
      <c r="I825" t="s">
        <v>271</v>
      </c>
      <c r="M825">
        <v>2023</v>
      </c>
      <c r="O825" t="s">
        <v>45</v>
      </c>
      <c r="Q825" t="s">
        <v>1572</v>
      </c>
      <c r="R825" s="126" t="s">
        <v>1135</v>
      </c>
      <c r="S825" s="126">
        <v>9303.3799999999992</v>
      </c>
    </row>
    <row r="826" spans="1:19" x14ac:dyDescent="0.3">
      <c r="A826" t="s">
        <v>190</v>
      </c>
      <c r="C826" s="15" t="s">
        <v>1133</v>
      </c>
      <c r="D826" t="s">
        <v>36</v>
      </c>
      <c r="E826" t="s">
        <v>37</v>
      </c>
      <c r="F826" t="s">
        <v>38</v>
      </c>
      <c r="G826" t="s">
        <v>39</v>
      </c>
      <c r="H826">
        <v>2023</v>
      </c>
      <c r="I826" t="s">
        <v>271</v>
      </c>
      <c r="M826">
        <v>2023</v>
      </c>
      <c r="O826" t="s">
        <v>45</v>
      </c>
      <c r="Q826" t="s">
        <v>1571</v>
      </c>
      <c r="R826" s="126" t="s">
        <v>1136</v>
      </c>
      <c r="S826" s="126">
        <v>15</v>
      </c>
    </row>
    <row r="827" spans="1:19" x14ac:dyDescent="0.3">
      <c r="A827" t="s">
        <v>190</v>
      </c>
      <c r="C827" s="15" t="s">
        <v>1133</v>
      </c>
      <c r="D827" t="s">
        <v>36</v>
      </c>
      <c r="E827" t="s">
        <v>37</v>
      </c>
      <c r="F827" t="s">
        <v>38</v>
      </c>
      <c r="G827" t="s">
        <v>39</v>
      </c>
      <c r="H827">
        <v>2023</v>
      </c>
      <c r="I827" t="s">
        <v>271</v>
      </c>
      <c r="M827">
        <v>2023</v>
      </c>
      <c r="O827" t="s">
        <v>45</v>
      </c>
      <c r="Q827" t="s">
        <v>1572</v>
      </c>
      <c r="R827" s="126" t="s">
        <v>1137</v>
      </c>
      <c r="S827" s="126">
        <v>7066.19</v>
      </c>
    </row>
    <row r="828" spans="1:19" x14ac:dyDescent="0.3">
      <c r="A828" t="s">
        <v>190</v>
      </c>
      <c r="C828" s="15" t="s">
        <v>1133</v>
      </c>
      <c r="D828" t="s">
        <v>36</v>
      </c>
      <c r="E828" t="s">
        <v>37</v>
      </c>
      <c r="F828" t="s">
        <v>38</v>
      </c>
      <c r="G828" t="s">
        <v>39</v>
      </c>
      <c r="H828">
        <v>2023</v>
      </c>
      <c r="I828" t="s">
        <v>271</v>
      </c>
      <c r="M828">
        <v>2023</v>
      </c>
      <c r="O828" t="s">
        <v>45</v>
      </c>
      <c r="Q828" t="s">
        <v>1573</v>
      </c>
      <c r="R828" s="126" t="s">
        <v>1138</v>
      </c>
      <c r="S828" s="126">
        <v>18</v>
      </c>
    </row>
    <row r="829" spans="1:19" x14ac:dyDescent="0.3">
      <c r="A829" t="s">
        <v>190</v>
      </c>
      <c r="C829" s="15" t="s">
        <v>1133</v>
      </c>
      <c r="D829" t="s">
        <v>36</v>
      </c>
      <c r="E829" t="s">
        <v>37</v>
      </c>
      <c r="F829" t="s">
        <v>38</v>
      </c>
      <c r="G829" t="s">
        <v>39</v>
      </c>
      <c r="H829">
        <v>2023</v>
      </c>
      <c r="I829" t="s">
        <v>271</v>
      </c>
      <c r="M829">
        <v>2023</v>
      </c>
      <c r="O829" t="s">
        <v>45</v>
      </c>
      <c r="Q829" t="s">
        <v>1574</v>
      </c>
      <c r="R829" s="126" t="s">
        <v>1139</v>
      </c>
      <c r="S829" s="126">
        <v>2175.39</v>
      </c>
    </row>
    <row r="830" spans="1:19" x14ac:dyDescent="0.3">
      <c r="A830" t="s">
        <v>190</v>
      </c>
      <c r="C830" s="15" t="s">
        <v>1133</v>
      </c>
      <c r="D830" t="s">
        <v>36</v>
      </c>
      <c r="E830" t="s">
        <v>37</v>
      </c>
      <c r="F830" t="s">
        <v>38</v>
      </c>
      <c r="G830" t="s">
        <v>39</v>
      </c>
      <c r="H830">
        <v>2023</v>
      </c>
      <c r="I830" t="s">
        <v>271</v>
      </c>
      <c r="M830">
        <v>2023</v>
      </c>
      <c r="O830" t="s">
        <v>45</v>
      </c>
      <c r="Q830" t="s">
        <v>1575</v>
      </c>
      <c r="R830" s="126" t="s">
        <v>1140</v>
      </c>
      <c r="S830" s="126">
        <v>1597.71</v>
      </c>
    </row>
    <row r="831" spans="1:19" x14ac:dyDescent="0.3">
      <c r="A831" t="s">
        <v>190</v>
      </c>
      <c r="C831" s="15" t="s">
        <v>1133</v>
      </c>
      <c r="D831" t="s">
        <v>36</v>
      </c>
      <c r="E831" t="s">
        <v>37</v>
      </c>
      <c r="F831" t="s">
        <v>38</v>
      </c>
      <c r="G831" t="s">
        <v>39</v>
      </c>
      <c r="H831">
        <v>2023</v>
      </c>
      <c r="I831" t="s">
        <v>271</v>
      </c>
      <c r="M831">
        <v>2023</v>
      </c>
      <c r="O831" t="s">
        <v>45</v>
      </c>
      <c r="Q831" t="s">
        <v>1576</v>
      </c>
      <c r="R831" s="126" t="s">
        <v>1141</v>
      </c>
      <c r="S831" s="126">
        <v>0.12</v>
      </c>
    </row>
    <row r="832" spans="1:19" x14ac:dyDescent="0.3">
      <c r="A832" t="s">
        <v>190</v>
      </c>
      <c r="C832" s="15" t="s">
        <v>1133</v>
      </c>
      <c r="D832" t="s">
        <v>36</v>
      </c>
      <c r="E832" t="s">
        <v>37</v>
      </c>
      <c r="F832" t="s">
        <v>38</v>
      </c>
      <c r="G832" t="s">
        <v>39</v>
      </c>
      <c r="H832">
        <v>2023</v>
      </c>
      <c r="I832" t="s">
        <v>271</v>
      </c>
      <c r="M832">
        <v>2023</v>
      </c>
      <c r="O832" t="s">
        <v>45</v>
      </c>
      <c r="Q832" t="s">
        <v>1577</v>
      </c>
      <c r="R832" s="126" t="s">
        <v>1142</v>
      </c>
      <c r="S832" s="126">
        <v>18.71</v>
      </c>
    </row>
    <row r="833" spans="1:19" x14ac:dyDescent="0.3">
      <c r="A833" t="s">
        <v>190</v>
      </c>
      <c r="C833" s="15" t="s">
        <v>1133</v>
      </c>
      <c r="D833" t="s">
        <v>36</v>
      </c>
      <c r="E833" t="s">
        <v>37</v>
      </c>
      <c r="F833" t="s">
        <v>38</v>
      </c>
      <c r="G833" t="s">
        <v>39</v>
      </c>
      <c r="H833">
        <v>2023</v>
      </c>
      <c r="I833" t="s">
        <v>271</v>
      </c>
      <c r="M833">
        <v>2023</v>
      </c>
      <c r="O833" t="s">
        <v>45</v>
      </c>
      <c r="Q833" t="s">
        <v>1578</v>
      </c>
      <c r="R833" s="126" t="s">
        <v>1143</v>
      </c>
      <c r="S833" s="126">
        <v>37.99</v>
      </c>
    </row>
    <row r="834" spans="1:19" x14ac:dyDescent="0.3">
      <c r="A834" t="s">
        <v>190</v>
      </c>
      <c r="C834" s="15" t="s">
        <v>1133</v>
      </c>
      <c r="D834" t="s">
        <v>36</v>
      </c>
      <c r="E834" t="s">
        <v>37</v>
      </c>
      <c r="F834" t="s">
        <v>38</v>
      </c>
      <c r="G834" t="s">
        <v>39</v>
      </c>
      <c r="H834">
        <v>2023</v>
      </c>
      <c r="I834" t="s">
        <v>271</v>
      </c>
      <c r="M834">
        <v>2023</v>
      </c>
      <c r="O834" t="s">
        <v>45</v>
      </c>
      <c r="Q834" t="s">
        <v>1579</v>
      </c>
      <c r="R834" s="126" t="s">
        <v>1144</v>
      </c>
      <c r="S834" s="126">
        <v>2335.5700000000002</v>
      </c>
    </row>
    <row r="835" spans="1:19" x14ac:dyDescent="0.3">
      <c r="A835" t="s">
        <v>190</v>
      </c>
      <c r="C835" s="15" t="s">
        <v>1133</v>
      </c>
      <c r="D835" t="s">
        <v>36</v>
      </c>
      <c r="E835" t="s">
        <v>37</v>
      </c>
      <c r="F835" t="s">
        <v>38</v>
      </c>
      <c r="G835" t="s">
        <v>39</v>
      </c>
      <c r="H835">
        <v>2023</v>
      </c>
      <c r="I835" t="s">
        <v>271</v>
      </c>
      <c r="M835">
        <v>2023</v>
      </c>
      <c r="O835" t="s">
        <v>45</v>
      </c>
      <c r="Q835" t="s">
        <v>1580</v>
      </c>
      <c r="R835" s="127" t="s">
        <v>1145</v>
      </c>
      <c r="S835" s="127">
        <f>SUM(S830:S834)</f>
        <v>3990.1000000000004</v>
      </c>
    </row>
    <row r="836" spans="1:19" x14ac:dyDescent="0.3">
      <c r="A836" t="s">
        <v>190</v>
      </c>
      <c r="C836" s="15" t="s">
        <v>1133</v>
      </c>
      <c r="D836" t="s">
        <v>36</v>
      </c>
      <c r="E836" t="s">
        <v>37</v>
      </c>
      <c r="F836" t="s">
        <v>38</v>
      </c>
      <c r="G836" t="s">
        <v>39</v>
      </c>
      <c r="H836">
        <v>2023</v>
      </c>
      <c r="I836" t="s">
        <v>271</v>
      </c>
      <c r="M836">
        <v>2023</v>
      </c>
      <c r="O836" t="s">
        <v>45</v>
      </c>
      <c r="Q836" t="s">
        <v>1581</v>
      </c>
      <c r="R836" s="126" t="s">
        <v>1146</v>
      </c>
      <c r="S836" s="126">
        <v>6069.44</v>
      </c>
    </row>
    <row r="837" spans="1:19" x14ac:dyDescent="0.3">
      <c r="A837" t="s">
        <v>190</v>
      </c>
      <c r="C837" s="15" t="s">
        <v>1133</v>
      </c>
      <c r="D837" t="s">
        <v>36</v>
      </c>
      <c r="E837" t="s">
        <v>37</v>
      </c>
      <c r="F837" t="s">
        <v>38</v>
      </c>
      <c r="G837" t="s">
        <v>39</v>
      </c>
      <c r="H837">
        <v>2023</v>
      </c>
      <c r="I837" t="s">
        <v>271</v>
      </c>
      <c r="M837">
        <v>2023</v>
      </c>
      <c r="O837" t="s">
        <v>45</v>
      </c>
      <c r="Q837" t="s">
        <v>1578</v>
      </c>
      <c r="R837" s="126" t="s">
        <v>1147</v>
      </c>
      <c r="S837" s="126">
        <v>55.18</v>
      </c>
    </row>
    <row r="838" spans="1:19" x14ac:dyDescent="0.3">
      <c r="A838" t="s">
        <v>190</v>
      </c>
      <c r="C838" s="15" t="s">
        <v>1133</v>
      </c>
      <c r="D838" t="s">
        <v>36</v>
      </c>
      <c r="E838" t="s">
        <v>37</v>
      </c>
      <c r="F838" t="s">
        <v>38</v>
      </c>
      <c r="G838" t="s">
        <v>39</v>
      </c>
      <c r="H838">
        <v>2023</v>
      </c>
      <c r="I838" t="s">
        <v>271</v>
      </c>
      <c r="M838">
        <v>2023</v>
      </c>
      <c r="O838" t="s">
        <v>45</v>
      </c>
      <c r="Q838" t="s">
        <v>1582</v>
      </c>
      <c r="R838" s="126" t="s">
        <v>1148</v>
      </c>
      <c r="S838" s="126">
        <v>112.06</v>
      </c>
    </row>
    <row r="839" spans="1:19" x14ac:dyDescent="0.3">
      <c r="A839" t="s">
        <v>190</v>
      </c>
      <c r="C839" s="15" t="s">
        <v>1133</v>
      </c>
      <c r="D839" t="s">
        <v>36</v>
      </c>
      <c r="E839" t="s">
        <v>37</v>
      </c>
      <c r="F839" t="s">
        <v>38</v>
      </c>
      <c r="G839" t="s">
        <v>39</v>
      </c>
      <c r="H839">
        <v>2023</v>
      </c>
      <c r="I839" t="s">
        <v>271</v>
      </c>
      <c r="M839">
        <v>2023</v>
      </c>
      <c r="O839" t="s">
        <v>45</v>
      </c>
      <c r="Q839" t="s">
        <v>1580</v>
      </c>
      <c r="R839" s="127" t="s">
        <v>1149</v>
      </c>
      <c r="S839" s="127">
        <f>SUM(S836:S838)</f>
        <v>6236.68</v>
      </c>
    </row>
    <row r="840" spans="1:19" x14ac:dyDescent="0.3">
      <c r="A840" t="s">
        <v>190</v>
      </c>
      <c r="C840" s="15" t="s">
        <v>1133</v>
      </c>
      <c r="D840" t="s">
        <v>36</v>
      </c>
      <c r="E840" t="s">
        <v>37</v>
      </c>
      <c r="F840" t="s">
        <v>38</v>
      </c>
      <c r="G840" t="s">
        <v>39</v>
      </c>
      <c r="H840">
        <v>2023</v>
      </c>
      <c r="I840" t="s">
        <v>271</v>
      </c>
      <c r="M840">
        <v>2023</v>
      </c>
      <c r="O840" t="s">
        <v>45</v>
      </c>
      <c r="Q840" t="s">
        <v>1578</v>
      </c>
      <c r="R840" s="146" t="s">
        <v>1150</v>
      </c>
      <c r="S840" s="126">
        <v>119.81</v>
      </c>
    </row>
    <row r="841" spans="1:19" x14ac:dyDescent="0.3">
      <c r="A841" t="s">
        <v>190</v>
      </c>
      <c r="C841" s="15" t="s">
        <v>1133</v>
      </c>
      <c r="D841" t="s">
        <v>36</v>
      </c>
      <c r="E841" t="s">
        <v>37</v>
      </c>
      <c r="F841" t="s">
        <v>38</v>
      </c>
      <c r="G841" t="s">
        <v>39</v>
      </c>
      <c r="H841">
        <v>2023</v>
      </c>
      <c r="I841" t="s">
        <v>271</v>
      </c>
      <c r="M841">
        <v>2023</v>
      </c>
      <c r="O841" t="s">
        <v>45</v>
      </c>
      <c r="Q841" t="s">
        <v>1582</v>
      </c>
      <c r="R841" s="146" t="s">
        <v>1151</v>
      </c>
      <c r="S841" s="126">
        <v>804.63</v>
      </c>
    </row>
    <row r="842" spans="1:19" x14ac:dyDescent="0.3">
      <c r="A842" t="s">
        <v>190</v>
      </c>
      <c r="C842" s="15" t="s">
        <v>1133</v>
      </c>
      <c r="D842" t="s">
        <v>36</v>
      </c>
      <c r="E842" t="s">
        <v>37</v>
      </c>
      <c r="F842" t="s">
        <v>38</v>
      </c>
      <c r="G842" t="s">
        <v>39</v>
      </c>
      <c r="H842">
        <v>2023</v>
      </c>
      <c r="I842" t="s">
        <v>271</v>
      </c>
      <c r="M842">
        <v>2023</v>
      </c>
      <c r="O842" t="s">
        <v>45</v>
      </c>
      <c r="Q842" t="s">
        <v>1580</v>
      </c>
      <c r="R842" s="147" t="s">
        <v>1152</v>
      </c>
      <c r="S842" s="127">
        <f>SUM(S840:S841)</f>
        <v>924.44</v>
      </c>
    </row>
    <row r="843" spans="1:19" x14ac:dyDescent="0.3">
      <c r="A843" t="s">
        <v>190</v>
      </c>
      <c r="C843" s="15" t="s">
        <v>1133</v>
      </c>
      <c r="D843" t="s">
        <v>36</v>
      </c>
      <c r="E843" t="s">
        <v>37</v>
      </c>
      <c r="F843" t="s">
        <v>38</v>
      </c>
      <c r="G843" t="s">
        <v>39</v>
      </c>
      <c r="H843">
        <v>2023</v>
      </c>
      <c r="I843" t="s">
        <v>271</v>
      </c>
      <c r="M843">
        <v>2023</v>
      </c>
      <c r="O843" t="s">
        <v>45</v>
      </c>
      <c r="R843" s="148" t="s">
        <v>1153</v>
      </c>
      <c r="S843" s="65">
        <f>(S835/S825)*100</f>
        <v>42.888713564317491</v>
      </c>
    </row>
    <row r="844" spans="1:19" x14ac:dyDescent="0.3">
      <c r="A844" t="s">
        <v>190</v>
      </c>
      <c r="C844" s="15" t="s">
        <v>1133</v>
      </c>
      <c r="D844" t="s">
        <v>36</v>
      </c>
      <c r="E844" t="s">
        <v>37</v>
      </c>
      <c r="F844" t="s">
        <v>38</v>
      </c>
      <c r="G844" t="s">
        <v>39</v>
      </c>
      <c r="H844">
        <v>2023</v>
      </c>
      <c r="I844" t="s">
        <v>271</v>
      </c>
      <c r="M844">
        <v>2023</v>
      </c>
      <c r="O844" t="s">
        <v>45</v>
      </c>
      <c r="R844" s="148" t="s">
        <v>1154</v>
      </c>
      <c r="S844" s="65">
        <f>(S839/S827)*100</f>
        <v>88.260859105118897</v>
      </c>
    </row>
    <row r="845" spans="1:19" x14ac:dyDescent="0.3">
      <c r="A845" t="s">
        <v>190</v>
      </c>
      <c r="C845" s="15" t="s">
        <v>1133</v>
      </c>
      <c r="D845" t="s">
        <v>36</v>
      </c>
      <c r="E845" t="s">
        <v>37</v>
      </c>
      <c r="F845" t="s">
        <v>38</v>
      </c>
      <c r="G845" t="s">
        <v>39</v>
      </c>
      <c r="H845">
        <v>2023</v>
      </c>
      <c r="I845" t="s">
        <v>271</v>
      </c>
      <c r="M845">
        <v>2023</v>
      </c>
      <c r="O845" t="s">
        <v>45</v>
      </c>
      <c r="R845" s="148" t="s">
        <v>1155</v>
      </c>
      <c r="S845" s="65">
        <f>(S842/S829)*100</f>
        <v>42.495368646541543</v>
      </c>
    </row>
    <row r="846" spans="1:19" x14ac:dyDescent="0.3">
      <c r="A846" t="s">
        <v>190</v>
      </c>
      <c r="C846" s="15" t="s">
        <v>1133</v>
      </c>
      <c r="D846" t="s">
        <v>36</v>
      </c>
      <c r="E846" t="s">
        <v>37</v>
      </c>
      <c r="F846" t="s">
        <v>38</v>
      </c>
      <c r="G846" t="s">
        <v>39</v>
      </c>
      <c r="H846">
        <v>2023</v>
      </c>
      <c r="I846" t="s">
        <v>271</v>
      </c>
      <c r="M846">
        <v>2023</v>
      </c>
      <c r="O846" t="s">
        <v>45</v>
      </c>
      <c r="Q846" t="s">
        <v>1583</v>
      </c>
      <c r="R846" s="148" t="s">
        <v>1156</v>
      </c>
      <c r="S846" s="64" t="str">
        <f>IF(S843=0,"Nula",IF(AND(S843&gt;=1,S843&lt;20),"Baja",IF(AND(S843&gt;=20,S843&lt;50),"Moderada","Alta")))</f>
        <v>Moderada</v>
      </c>
    </row>
    <row r="847" spans="1:19" x14ac:dyDescent="0.3">
      <c r="A847" t="s">
        <v>190</v>
      </c>
      <c r="C847" s="15" t="s">
        <v>1133</v>
      </c>
      <c r="D847" t="s">
        <v>36</v>
      </c>
      <c r="E847" t="s">
        <v>37</v>
      </c>
      <c r="F847" t="s">
        <v>38</v>
      </c>
      <c r="G847" t="s">
        <v>39</v>
      </c>
      <c r="H847">
        <v>2023</v>
      </c>
      <c r="I847" t="s">
        <v>271</v>
      </c>
      <c r="M847">
        <v>2023</v>
      </c>
      <c r="O847" t="s">
        <v>45</v>
      </c>
      <c r="Q847" t="s">
        <v>1583</v>
      </c>
      <c r="R847" s="148" t="s">
        <v>1157</v>
      </c>
      <c r="S847" s="64" t="str">
        <f>IF(S844=0,"Nula",IF(AND(S844&gt;=1,S844&lt;20),"Baja",IF(AND(S844&gt;=20,S844&lt;50),"Moderada","Alta")))</f>
        <v>Alta</v>
      </c>
    </row>
    <row r="848" spans="1:19" x14ac:dyDescent="0.3">
      <c r="A848" t="s">
        <v>190</v>
      </c>
      <c r="C848" s="15" t="s">
        <v>1133</v>
      </c>
      <c r="D848" t="s">
        <v>36</v>
      </c>
      <c r="E848" t="s">
        <v>37</v>
      </c>
      <c r="F848" t="s">
        <v>38</v>
      </c>
      <c r="G848" t="s">
        <v>39</v>
      </c>
      <c r="H848">
        <v>2023</v>
      </c>
      <c r="I848" t="s">
        <v>271</v>
      </c>
      <c r="M848">
        <v>2023</v>
      </c>
      <c r="O848" t="s">
        <v>45</v>
      </c>
      <c r="Q848" t="s">
        <v>1583</v>
      </c>
      <c r="R848" s="148" t="s">
        <v>1158</v>
      </c>
      <c r="S848" s="64" t="str">
        <f>IF(S845=0,"Nula",IF(AND(S845&gt;=1,S845&lt;20),"Baja",IF(AND(S845&gt;=20,S845&lt;50),"Moderada","Alta")))</f>
        <v>Moderada</v>
      </c>
    </row>
    <row r="849" spans="1:19" x14ac:dyDescent="0.3">
      <c r="A849" t="s">
        <v>190</v>
      </c>
      <c r="C849" s="15" t="s">
        <v>1159</v>
      </c>
      <c r="D849" t="s">
        <v>36</v>
      </c>
      <c r="E849" t="s">
        <v>37</v>
      </c>
      <c r="F849" t="s">
        <v>38</v>
      </c>
      <c r="G849" t="s">
        <v>39</v>
      </c>
      <c r="H849">
        <v>2023</v>
      </c>
      <c r="I849" t="s">
        <v>271</v>
      </c>
      <c r="M849">
        <v>2023</v>
      </c>
      <c r="O849" t="s">
        <v>45</v>
      </c>
      <c r="Q849" t="s">
        <v>1584</v>
      </c>
      <c r="R849" s="146" t="s">
        <v>1160</v>
      </c>
      <c r="S849" s="126">
        <v>863</v>
      </c>
    </row>
    <row r="850" spans="1:19" x14ac:dyDescent="0.3">
      <c r="A850" t="s">
        <v>190</v>
      </c>
      <c r="C850" s="15" t="s">
        <v>1159</v>
      </c>
      <c r="D850" t="s">
        <v>36</v>
      </c>
      <c r="E850" t="s">
        <v>37</v>
      </c>
      <c r="F850" t="s">
        <v>38</v>
      </c>
      <c r="G850" t="s">
        <v>39</v>
      </c>
      <c r="H850">
        <v>2023</v>
      </c>
      <c r="I850" t="s">
        <v>271</v>
      </c>
      <c r="M850">
        <v>2023</v>
      </c>
      <c r="O850" t="s">
        <v>45</v>
      </c>
      <c r="Q850" t="s">
        <v>1585</v>
      </c>
      <c r="R850" s="146" t="s">
        <v>1161</v>
      </c>
      <c r="S850" s="126">
        <v>4277</v>
      </c>
    </row>
    <row r="851" spans="1:19" x14ac:dyDescent="0.3">
      <c r="A851" t="s">
        <v>190</v>
      </c>
      <c r="C851" s="15" t="s">
        <v>1159</v>
      </c>
      <c r="D851" t="s">
        <v>36</v>
      </c>
      <c r="E851" t="s">
        <v>37</v>
      </c>
      <c r="F851" t="s">
        <v>38</v>
      </c>
      <c r="G851" t="s">
        <v>39</v>
      </c>
      <c r="H851">
        <v>2023</v>
      </c>
      <c r="I851" t="s">
        <v>271</v>
      </c>
      <c r="M851">
        <v>2023</v>
      </c>
      <c r="O851" t="s">
        <v>45</v>
      </c>
      <c r="Q851" t="s">
        <v>1586</v>
      </c>
      <c r="R851" s="146" t="s">
        <v>1162</v>
      </c>
      <c r="S851" s="126">
        <v>28</v>
      </c>
    </row>
    <row r="852" spans="1:19" x14ac:dyDescent="0.3">
      <c r="A852" t="s">
        <v>190</v>
      </c>
      <c r="C852" s="15" t="s">
        <v>1159</v>
      </c>
      <c r="D852" t="s">
        <v>36</v>
      </c>
      <c r="E852" t="s">
        <v>37</v>
      </c>
      <c r="F852" t="s">
        <v>38</v>
      </c>
      <c r="G852" t="s">
        <v>39</v>
      </c>
      <c r="H852">
        <v>2023</v>
      </c>
      <c r="I852" t="s">
        <v>271</v>
      </c>
      <c r="M852">
        <v>2023</v>
      </c>
      <c r="O852" t="s">
        <v>45</v>
      </c>
      <c r="Q852" t="s">
        <v>1587</v>
      </c>
      <c r="R852" s="146" t="s">
        <v>1163</v>
      </c>
      <c r="S852" s="126">
        <v>650</v>
      </c>
    </row>
    <row r="853" spans="1:19" x14ac:dyDescent="0.3">
      <c r="A853" t="s">
        <v>190</v>
      </c>
      <c r="C853" s="15" t="s">
        <v>1159</v>
      </c>
      <c r="D853" t="s">
        <v>36</v>
      </c>
      <c r="E853" t="s">
        <v>37</v>
      </c>
      <c r="F853" t="s">
        <v>38</v>
      </c>
      <c r="G853" t="s">
        <v>39</v>
      </c>
      <c r="H853">
        <v>2023</v>
      </c>
      <c r="I853" t="s">
        <v>271</v>
      </c>
      <c r="M853">
        <v>2023</v>
      </c>
      <c r="O853" t="s">
        <v>45</v>
      </c>
      <c r="Q853" t="s">
        <v>1588</v>
      </c>
      <c r="R853" s="146" t="s">
        <v>1164</v>
      </c>
      <c r="S853" s="126">
        <v>108</v>
      </c>
    </row>
    <row r="854" spans="1:19" x14ac:dyDescent="0.3">
      <c r="A854" t="s">
        <v>190</v>
      </c>
      <c r="C854" s="15" t="s">
        <v>1159</v>
      </c>
      <c r="D854" t="s">
        <v>36</v>
      </c>
      <c r="E854" t="s">
        <v>37</v>
      </c>
      <c r="F854" t="s">
        <v>38</v>
      </c>
      <c r="G854" t="s">
        <v>39</v>
      </c>
      <c r="H854">
        <v>2023</v>
      </c>
      <c r="I854" t="s">
        <v>271</v>
      </c>
      <c r="M854">
        <v>2023</v>
      </c>
      <c r="O854" t="s">
        <v>45</v>
      </c>
      <c r="Q854" t="s">
        <v>1589</v>
      </c>
      <c r="R854" s="146" t="s">
        <v>1165</v>
      </c>
      <c r="S854" s="126">
        <v>1265</v>
      </c>
    </row>
    <row r="855" spans="1:19" x14ac:dyDescent="0.3">
      <c r="A855" t="s">
        <v>190</v>
      </c>
      <c r="C855" s="15" t="s">
        <v>1159</v>
      </c>
      <c r="D855" t="s">
        <v>36</v>
      </c>
      <c r="E855" t="s">
        <v>37</v>
      </c>
      <c r="F855" t="s">
        <v>38</v>
      </c>
      <c r="G855" t="s">
        <v>39</v>
      </c>
      <c r="H855">
        <v>2023</v>
      </c>
      <c r="I855" t="s">
        <v>271</v>
      </c>
      <c r="M855">
        <v>2023</v>
      </c>
      <c r="O855" t="s">
        <v>45</v>
      </c>
      <c r="Q855" t="s">
        <v>1590</v>
      </c>
      <c r="R855" s="146" t="s">
        <v>1166</v>
      </c>
      <c r="S855" s="126">
        <v>72</v>
      </c>
    </row>
    <row r="856" spans="1:19" x14ac:dyDescent="0.3">
      <c r="A856" t="s">
        <v>190</v>
      </c>
      <c r="C856" s="15" t="s">
        <v>1159</v>
      </c>
      <c r="D856" t="s">
        <v>36</v>
      </c>
      <c r="E856" t="s">
        <v>37</v>
      </c>
      <c r="F856" t="s">
        <v>38</v>
      </c>
      <c r="G856" t="s">
        <v>39</v>
      </c>
      <c r="H856">
        <v>2023</v>
      </c>
      <c r="I856" t="s">
        <v>271</v>
      </c>
      <c r="M856">
        <v>2023</v>
      </c>
      <c r="O856" t="s">
        <v>45</v>
      </c>
      <c r="Q856" t="s">
        <v>1591</v>
      </c>
      <c r="R856" s="146" t="s">
        <v>1167</v>
      </c>
      <c r="S856" s="126">
        <v>12626</v>
      </c>
    </row>
    <row r="857" spans="1:19" x14ac:dyDescent="0.3">
      <c r="A857" t="s">
        <v>190</v>
      </c>
      <c r="C857" s="15" t="s">
        <v>1159</v>
      </c>
      <c r="D857" t="s">
        <v>36</v>
      </c>
      <c r="E857" t="s">
        <v>37</v>
      </c>
      <c r="F857" t="s">
        <v>38</v>
      </c>
      <c r="G857" t="s">
        <v>39</v>
      </c>
      <c r="H857">
        <v>2023</v>
      </c>
      <c r="I857" t="s">
        <v>271</v>
      </c>
      <c r="M857">
        <v>2023</v>
      </c>
      <c r="O857" t="s">
        <v>45</v>
      </c>
      <c r="Q857" t="s">
        <v>1592</v>
      </c>
      <c r="R857" s="146" t="s">
        <v>1168</v>
      </c>
      <c r="S857" s="126">
        <v>722</v>
      </c>
    </row>
    <row r="858" spans="1:19" x14ac:dyDescent="0.3">
      <c r="A858" t="s">
        <v>190</v>
      </c>
      <c r="C858" s="15" t="s">
        <v>1159</v>
      </c>
      <c r="D858" t="s">
        <v>36</v>
      </c>
      <c r="E858" t="s">
        <v>37</v>
      </c>
      <c r="F858" t="s">
        <v>38</v>
      </c>
      <c r="G858" t="s">
        <v>39</v>
      </c>
      <c r="H858">
        <v>2023</v>
      </c>
      <c r="I858" t="s">
        <v>271</v>
      </c>
      <c r="M858">
        <v>2023</v>
      </c>
      <c r="O858" t="s">
        <v>45</v>
      </c>
      <c r="Q858" t="s">
        <v>1593</v>
      </c>
      <c r="R858" s="146" t="s">
        <v>1169</v>
      </c>
      <c r="S858" s="126">
        <v>5570</v>
      </c>
    </row>
    <row r="859" spans="1:19" x14ac:dyDescent="0.3">
      <c r="A859" t="s">
        <v>190</v>
      </c>
      <c r="C859" s="15" t="s">
        <v>1159</v>
      </c>
      <c r="D859" t="s">
        <v>36</v>
      </c>
      <c r="E859" t="s">
        <v>37</v>
      </c>
      <c r="F859" t="s">
        <v>38</v>
      </c>
      <c r="G859" t="s">
        <v>39</v>
      </c>
      <c r="H859">
        <v>2023</v>
      </c>
      <c r="I859" t="s">
        <v>271</v>
      </c>
      <c r="M859">
        <v>2023</v>
      </c>
      <c r="O859" t="s">
        <v>45</v>
      </c>
      <c r="Q859" t="s">
        <v>1594</v>
      </c>
      <c r="R859" s="147" t="s">
        <v>1170</v>
      </c>
      <c r="S859" s="127">
        <f>S849+S851+S853+S855+S857</f>
        <v>1793</v>
      </c>
    </row>
    <row r="860" spans="1:19" x14ac:dyDescent="0.3">
      <c r="A860" t="s">
        <v>190</v>
      </c>
      <c r="C860" s="15" t="s">
        <v>1159</v>
      </c>
      <c r="D860" t="s">
        <v>36</v>
      </c>
      <c r="E860" t="s">
        <v>37</v>
      </c>
      <c r="F860" t="s">
        <v>38</v>
      </c>
      <c r="G860" t="s">
        <v>39</v>
      </c>
      <c r="H860">
        <v>2023</v>
      </c>
      <c r="I860" t="s">
        <v>271</v>
      </c>
      <c r="M860">
        <v>2023</v>
      </c>
      <c r="O860" t="s">
        <v>45</v>
      </c>
      <c r="Q860" t="s">
        <v>1595</v>
      </c>
      <c r="R860" s="147" t="s">
        <v>1171</v>
      </c>
      <c r="S860" s="127">
        <f>S850+S852+S854+S856+S858</f>
        <v>24388</v>
      </c>
    </row>
    <row r="861" spans="1:19" x14ac:dyDescent="0.3">
      <c r="A861" t="s">
        <v>190</v>
      </c>
      <c r="C861" s="15" t="s">
        <v>1159</v>
      </c>
      <c r="D861" t="s">
        <v>36</v>
      </c>
      <c r="E861" t="s">
        <v>37</v>
      </c>
      <c r="F861" t="s">
        <v>38</v>
      </c>
      <c r="G861" t="s">
        <v>39</v>
      </c>
      <c r="H861">
        <v>2023</v>
      </c>
      <c r="I861" t="s">
        <v>271</v>
      </c>
      <c r="M861">
        <v>2023</v>
      </c>
      <c r="O861" t="s">
        <v>45</v>
      </c>
      <c r="Q861" t="s">
        <v>1596</v>
      </c>
      <c r="R861" s="146" t="s">
        <v>1172</v>
      </c>
      <c r="S861" s="126">
        <v>25</v>
      </c>
    </row>
    <row r="862" spans="1:19" x14ac:dyDescent="0.3">
      <c r="A862" t="s">
        <v>190</v>
      </c>
      <c r="C862" s="15" t="s">
        <v>1159</v>
      </c>
      <c r="D862" t="s">
        <v>36</v>
      </c>
      <c r="E862" t="s">
        <v>37</v>
      </c>
      <c r="F862" t="s">
        <v>38</v>
      </c>
      <c r="G862" t="s">
        <v>39</v>
      </c>
      <c r="H862">
        <v>2023</v>
      </c>
      <c r="I862" t="s">
        <v>271</v>
      </c>
      <c r="M862">
        <v>2023</v>
      </c>
      <c r="O862" t="s">
        <v>45</v>
      </c>
      <c r="Q862" t="s">
        <v>1597</v>
      </c>
      <c r="R862" s="146" t="s">
        <v>1173</v>
      </c>
      <c r="S862" s="126">
        <v>453</v>
      </c>
    </row>
    <row r="863" spans="1:19" x14ac:dyDescent="0.3">
      <c r="A863" t="s">
        <v>190</v>
      </c>
      <c r="C863" s="15" t="s">
        <v>1159</v>
      </c>
      <c r="D863" t="s">
        <v>36</v>
      </c>
      <c r="E863" t="s">
        <v>37</v>
      </c>
      <c r="F863" t="s">
        <v>38</v>
      </c>
      <c r="G863" t="s">
        <v>39</v>
      </c>
      <c r="H863">
        <v>2023</v>
      </c>
      <c r="I863" t="s">
        <v>271</v>
      </c>
      <c r="M863">
        <v>2023</v>
      </c>
      <c r="O863" t="s">
        <v>45</v>
      </c>
      <c r="Q863" t="s">
        <v>1598</v>
      </c>
      <c r="R863" s="146" t="s">
        <v>1174</v>
      </c>
      <c r="S863" s="126">
        <v>1252</v>
      </c>
    </row>
    <row r="864" spans="1:19" x14ac:dyDescent="0.3">
      <c r="A864" t="s">
        <v>190</v>
      </c>
      <c r="C864" s="15" t="s">
        <v>1159</v>
      </c>
      <c r="D864" t="s">
        <v>36</v>
      </c>
      <c r="E864" t="s">
        <v>37</v>
      </c>
      <c r="F864" t="s">
        <v>38</v>
      </c>
      <c r="G864" t="s">
        <v>39</v>
      </c>
      <c r="H864">
        <v>2023</v>
      </c>
      <c r="I864" t="s">
        <v>271</v>
      </c>
      <c r="M864">
        <v>2023</v>
      </c>
      <c r="O864" t="s">
        <v>45</v>
      </c>
      <c r="Q864" t="s">
        <v>1599</v>
      </c>
      <c r="R864" s="146" t="s">
        <v>1175</v>
      </c>
      <c r="S864" s="126">
        <v>4</v>
      </c>
    </row>
    <row r="865" spans="1:19" x14ac:dyDescent="0.3">
      <c r="A865" t="s">
        <v>190</v>
      </c>
      <c r="C865" s="15" t="s">
        <v>1159</v>
      </c>
      <c r="D865" t="s">
        <v>36</v>
      </c>
      <c r="E865" t="s">
        <v>37</v>
      </c>
      <c r="F865" t="s">
        <v>38</v>
      </c>
      <c r="G865" t="s">
        <v>39</v>
      </c>
      <c r="H865">
        <v>2023</v>
      </c>
      <c r="I865" t="s">
        <v>271</v>
      </c>
      <c r="M865">
        <v>2023</v>
      </c>
      <c r="O865" t="s">
        <v>45</v>
      </c>
      <c r="Q865" t="s">
        <v>1597</v>
      </c>
      <c r="R865" s="146" t="s">
        <v>1176</v>
      </c>
      <c r="S865" s="126">
        <v>230</v>
      </c>
    </row>
    <row r="866" spans="1:19" x14ac:dyDescent="0.3">
      <c r="A866" t="s">
        <v>190</v>
      </c>
      <c r="C866" s="15" t="s">
        <v>1159</v>
      </c>
      <c r="D866" t="s">
        <v>36</v>
      </c>
      <c r="E866" t="s">
        <v>37</v>
      </c>
      <c r="F866" t="s">
        <v>38</v>
      </c>
      <c r="G866" t="s">
        <v>39</v>
      </c>
      <c r="H866">
        <v>2023</v>
      </c>
      <c r="I866" t="s">
        <v>271</v>
      </c>
      <c r="M866">
        <v>2023</v>
      </c>
      <c r="O866" t="s">
        <v>45</v>
      </c>
      <c r="Q866" t="s">
        <v>1598</v>
      </c>
      <c r="R866" s="146" t="s">
        <v>1177</v>
      </c>
      <c r="S866" s="126">
        <v>150</v>
      </c>
    </row>
    <row r="867" spans="1:19" x14ac:dyDescent="0.3">
      <c r="A867" t="s">
        <v>190</v>
      </c>
      <c r="C867" s="15" t="s">
        <v>1159</v>
      </c>
      <c r="D867" t="s">
        <v>36</v>
      </c>
      <c r="E867" t="s">
        <v>37</v>
      </c>
      <c r="F867" t="s">
        <v>38</v>
      </c>
      <c r="G867" t="s">
        <v>39</v>
      </c>
      <c r="H867">
        <v>2023</v>
      </c>
      <c r="I867" t="s">
        <v>271</v>
      </c>
      <c r="M867">
        <v>2023</v>
      </c>
      <c r="O867" t="s">
        <v>45</v>
      </c>
      <c r="Q867" t="s">
        <v>1600</v>
      </c>
      <c r="R867" s="146" t="s">
        <v>1178</v>
      </c>
      <c r="S867" s="126">
        <v>55</v>
      </c>
    </row>
    <row r="868" spans="1:19" x14ac:dyDescent="0.3">
      <c r="A868" t="s">
        <v>190</v>
      </c>
      <c r="C868" s="15" t="s">
        <v>1159</v>
      </c>
      <c r="D868" t="s">
        <v>36</v>
      </c>
      <c r="E868" t="s">
        <v>37</v>
      </c>
      <c r="F868" t="s">
        <v>38</v>
      </c>
      <c r="G868" t="s">
        <v>39</v>
      </c>
      <c r="H868">
        <v>2023</v>
      </c>
      <c r="I868" t="s">
        <v>271</v>
      </c>
      <c r="M868">
        <v>2023</v>
      </c>
      <c r="O868" t="s">
        <v>45</v>
      </c>
      <c r="Q868" t="s">
        <v>1597</v>
      </c>
      <c r="R868" s="146" t="s">
        <v>1179</v>
      </c>
      <c r="S868" s="126">
        <v>1283</v>
      </c>
    </row>
    <row r="869" spans="1:19" x14ac:dyDescent="0.3">
      <c r="A869" t="s">
        <v>190</v>
      </c>
      <c r="C869" s="15" t="s">
        <v>1159</v>
      </c>
      <c r="D869" t="s">
        <v>36</v>
      </c>
      <c r="E869" t="s">
        <v>37</v>
      </c>
      <c r="F869" t="s">
        <v>38</v>
      </c>
      <c r="G869" t="s">
        <v>39</v>
      </c>
      <c r="H869">
        <v>2023</v>
      </c>
      <c r="I869" t="s">
        <v>271</v>
      </c>
      <c r="M869">
        <v>2023</v>
      </c>
      <c r="O869" t="s">
        <v>45</v>
      </c>
      <c r="Q869" t="s">
        <v>1598</v>
      </c>
      <c r="R869" s="146" t="s">
        <v>1180</v>
      </c>
      <c r="S869" s="126">
        <v>3957</v>
      </c>
    </row>
    <row r="870" spans="1:19" x14ac:dyDescent="0.3">
      <c r="A870" t="s">
        <v>190</v>
      </c>
      <c r="C870" s="15" t="s">
        <v>1159</v>
      </c>
      <c r="D870" t="s">
        <v>36</v>
      </c>
      <c r="E870" t="s">
        <v>37</v>
      </c>
      <c r="F870" t="s">
        <v>38</v>
      </c>
      <c r="G870" t="s">
        <v>39</v>
      </c>
      <c r="H870">
        <v>2023</v>
      </c>
      <c r="I870" t="s">
        <v>271</v>
      </c>
      <c r="M870">
        <v>2023</v>
      </c>
      <c r="O870" t="s">
        <v>45</v>
      </c>
      <c r="Q870" t="s">
        <v>1601</v>
      </c>
      <c r="R870" s="146" t="s">
        <v>1181</v>
      </c>
      <c r="S870" s="126">
        <v>22</v>
      </c>
    </row>
    <row r="871" spans="1:19" x14ac:dyDescent="0.3">
      <c r="A871" t="s">
        <v>190</v>
      </c>
      <c r="C871" s="15" t="s">
        <v>1159</v>
      </c>
      <c r="D871" t="s">
        <v>36</v>
      </c>
      <c r="E871" t="s">
        <v>37</v>
      </c>
      <c r="F871" t="s">
        <v>38</v>
      </c>
      <c r="G871" t="s">
        <v>39</v>
      </c>
      <c r="H871">
        <v>2023</v>
      </c>
      <c r="I871" t="s">
        <v>271</v>
      </c>
      <c r="M871">
        <v>2023</v>
      </c>
      <c r="O871" t="s">
        <v>45</v>
      </c>
      <c r="Q871" t="s">
        <v>1602</v>
      </c>
      <c r="R871" s="146" t="s">
        <v>1182</v>
      </c>
      <c r="S871" s="126">
        <v>910</v>
      </c>
    </row>
    <row r="872" spans="1:19" x14ac:dyDescent="0.3">
      <c r="A872" t="s">
        <v>190</v>
      </c>
      <c r="C872" s="15" t="s">
        <v>1159</v>
      </c>
      <c r="D872" t="s">
        <v>36</v>
      </c>
      <c r="E872" t="s">
        <v>37</v>
      </c>
      <c r="F872" t="s">
        <v>38</v>
      </c>
      <c r="G872" t="s">
        <v>39</v>
      </c>
      <c r="H872">
        <v>2023</v>
      </c>
      <c r="I872" t="s">
        <v>271</v>
      </c>
      <c r="M872">
        <v>2023</v>
      </c>
      <c r="O872" t="s">
        <v>45</v>
      </c>
      <c r="Q872" t="s">
        <v>1603</v>
      </c>
      <c r="R872" s="146" t="s">
        <v>1183</v>
      </c>
      <c r="S872" s="126">
        <v>2510</v>
      </c>
    </row>
    <row r="873" spans="1:19" x14ac:dyDescent="0.3">
      <c r="A873" t="s">
        <v>190</v>
      </c>
      <c r="C873" s="15" t="s">
        <v>1159</v>
      </c>
      <c r="D873" t="s">
        <v>36</v>
      </c>
      <c r="E873" t="s">
        <v>37</v>
      </c>
      <c r="F873" t="s">
        <v>38</v>
      </c>
      <c r="G873" t="s">
        <v>39</v>
      </c>
      <c r="H873">
        <v>2023</v>
      </c>
      <c r="I873" t="s">
        <v>271</v>
      </c>
      <c r="M873">
        <v>2023</v>
      </c>
      <c r="O873" t="s">
        <v>45</v>
      </c>
      <c r="Q873" t="s">
        <v>1604</v>
      </c>
      <c r="R873" s="147" t="s">
        <v>1184</v>
      </c>
      <c r="S873" s="127">
        <f>S861+S864+S867+S870</f>
        <v>106</v>
      </c>
    </row>
    <row r="874" spans="1:19" x14ac:dyDescent="0.3">
      <c r="A874" t="s">
        <v>190</v>
      </c>
      <c r="C874" s="15" t="s">
        <v>1159</v>
      </c>
      <c r="D874" t="s">
        <v>36</v>
      </c>
      <c r="E874" t="s">
        <v>37</v>
      </c>
      <c r="F874" t="s">
        <v>38</v>
      </c>
      <c r="G874" t="s">
        <v>39</v>
      </c>
      <c r="H874">
        <v>2023</v>
      </c>
      <c r="I874" t="s">
        <v>271</v>
      </c>
      <c r="M874">
        <v>2023</v>
      </c>
      <c r="O874" t="s">
        <v>45</v>
      </c>
      <c r="Q874" t="s">
        <v>1605</v>
      </c>
      <c r="R874" s="147" t="s">
        <v>1185</v>
      </c>
      <c r="S874" s="127">
        <f t="shared" ref="S874:S875" si="10">S862+S865+S868+S871</f>
        <v>2876</v>
      </c>
    </row>
    <row r="875" spans="1:19" x14ac:dyDescent="0.3">
      <c r="A875" t="s">
        <v>190</v>
      </c>
      <c r="C875" s="15" t="s">
        <v>1159</v>
      </c>
      <c r="D875" t="s">
        <v>36</v>
      </c>
      <c r="E875" t="s">
        <v>37</v>
      </c>
      <c r="F875" t="s">
        <v>38</v>
      </c>
      <c r="G875" t="s">
        <v>39</v>
      </c>
      <c r="H875">
        <v>2023</v>
      </c>
      <c r="I875" t="s">
        <v>271</v>
      </c>
      <c r="M875">
        <v>2023</v>
      </c>
      <c r="O875" t="s">
        <v>45</v>
      </c>
      <c r="Q875" t="s">
        <v>1605</v>
      </c>
      <c r="R875" s="147" t="s">
        <v>1186</v>
      </c>
      <c r="S875" s="127">
        <f t="shared" si="10"/>
        <v>7869</v>
      </c>
    </row>
    <row r="876" spans="1:19" x14ac:dyDescent="0.3">
      <c r="A876" t="s">
        <v>190</v>
      </c>
      <c r="C876" s="15" t="s">
        <v>1159</v>
      </c>
      <c r="D876" t="s">
        <v>36</v>
      </c>
      <c r="E876" t="s">
        <v>37</v>
      </c>
      <c r="F876" t="s">
        <v>38</v>
      </c>
      <c r="G876" t="s">
        <v>39</v>
      </c>
      <c r="H876">
        <v>2023</v>
      </c>
      <c r="I876" t="s">
        <v>271</v>
      </c>
      <c r="M876">
        <v>2023</v>
      </c>
      <c r="O876" t="s">
        <v>45</v>
      </c>
      <c r="R876" s="148" t="s">
        <v>1187</v>
      </c>
      <c r="S876" s="65">
        <f>(S861/(S849+S851))*100</f>
        <v>2.8058361391694726</v>
      </c>
    </row>
    <row r="877" spans="1:19" x14ac:dyDescent="0.3">
      <c r="A877" t="s">
        <v>190</v>
      </c>
      <c r="C877" s="15" t="s">
        <v>1159</v>
      </c>
      <c r="D877" t="s">
        <v>36</v>
      </c>
      <c r="E877" t="s">
        <v>37</v>
      </c>
      <c r="F877" t="s">
        <v>38</v>
      </c>
      <c r="G877" t="s">
        <v>39</v>
      </c>
      <c r="H877">
        <v>2023</v>
      </c>
      <c r="I877" t="s">
        <v>271</v>
      </c>
      <c r="M877">
        <v>2023</v>
      </c>
      <c r="O877" t="s">
        <v>45</v>
      </c>
      <c r="R877" s="148" t="s">
        <v>1188</v>
      </c>
      <c r="S877" s="65">
        <f>(S864/S853)*100</f>
        <v>3.7037037037037033</v>
      </c>
    </row>
    <row r="878" spans="1:19" x14ac:dyDescent="0.3">
      <c r="A878" t="s">
        <v>190</v>
      </c>
      <c r="C878" s="15" t="s">
        <v>1159</v>
      </c>
      <c r="D878" t="s">
        <v>36</v>
      </c>
      <c r="E878" t="s">
        <v>37</v>
      </c>
      <c r="F878" t="s">
        <v>38</v>
      </c>
      <c r="G878" t="s">
        <v>39</v>
      </c>
      <c r="H878">
        <v>2023</v>
      </c>
      <c r="I878" t="s">
        <v>271</v>
      </c>
      <c r="M878">
        <v>2023</v>
      </c>
      <c r="O878" t="s">
        <v>45</v>
      </c>
      <c r="R878" s="148" t="s">
        <v>1189</v>
      </c>
      <c r="S878" s="65">
        <f>(S867/S855)*100</f>
        <v>76.388888888888886</v>
      </c>
    </row>
    <row r="879" spans="1:19" x14ac:dyDescent="0.3">
      <c r="A879" t="s">
        <v>190</v>
      </c>
      <c r="C879" s="15" t="s">
        <v>1159</v>
      </c>
      <c r="D879" t="s">
        <v>36</v>
      </c>
      <c r="E879" t="s">
        <v>37</v>
      </c>
      <c r="F879" t="s">
        <v>38</v>
      </c>
      <c r="G879" t="s">
        <v>39</v>
      </c>
      <c r="H879">
        <v>2023</v>
      </c>
      <c r="I879" t="s">
        <v>271</v>
      </c>
      <c r="M879">
        <v>2023</v>
      </c>
      <c r="O879" t="s">
        <v>45</v>
      </c>
      <c r="R879" s="148" t="s">
        <v>1190</v>
      </c>
      <c r="S879" s="65">
        <f>(S870/S857)*100</f>
        <v>3.0470914127423825</v>
      </c>
    </row>
    <row r="880" spans="1:19" x14ac:dyDescent="0.3">
      <c r="A880" t="s">
        <v>190</v>
      </c>
      <c r="C880" s="15" t="s">
        <v>1193</v>
      </c>
      <c r="D880" t="s">
        <v>36</v>
      </c>
      <c r="E880" t="s">
        <v>37</v>
      </c>
      <c r="F880" t="s">
        <v>38</v>
      </c>
      <c r="G880" t="s">
        <v>39</v>
      </c>
      <c r="H880">
        <v>2023</v>
      </c>
      <c r="I880" t="s">
        <v>271</v>
      </c>
      <c r="M880">
        <v>2023</v>
      </c>
      <c r="O880" t="s">
        <v>45</v>
      </c>
      <c r="Q880" t="s">
        <v>1606</v>
      </c>
      <c r="R880" s="146" t="s">
        <v>1194</v>
      </c>
      <c r="S880" s="126">
        <v>28427</v>
      </c>
    </row>
    <row r="881" spans="1:20" x14ac:dyDescent="0.3">
      <c r="A881" t="s">
        <v>190</v>
      </c>
      <c r="C881" s="15" t="s">
        <v>1193</v>
      </c>
      <c r="D881" t="s">
        <v>36</v>
      </c>
      <c r="E881" t="s">
        <v>37</v>
      </c>
      <c r="F881" t="s">
        <v>38</v>
      </c>
      <c r="G881" t="s">
        <v>39</v>
      </c>
      <c r="H881">
        <v>2023</v>
      </c>
      <c r="I881" t="s">
        <v>271</v>
      </c>
      <c r="M881">
        <v>2023</v>
      </c>
      <c r="O881" t="s">
        <v>45</v>
      </c>
      <c r="Q881" t="s">
        <v>1606</v>
      </c>
      <c r="R881" s="146" t="s">
        <v>1195</v>
      </c>
      <c r="S881" s="126">
        <v>20273</v>
      </c>
    </row>
    <row r="882" spans="1:20" x14ac:dyDescent="0.3">
      <c r="A882" t="s">
        <v>190</v>
      </c>
      <c r="C882" s="15" t="s">
        <v>1193</v>
      </c>
      <c r="D882" t="s">
        <v>36</v>
      </c>
      <c r="E882" t="s">
        <v>37</v>
      </c>
      <c r="F882" t="s">
        <v>38</v>
      </c>
      <c r="G882" t="s">
        <v>39</v>
      </c>
      <c r="H882">
        <v>2023</v>
      </c>
      <c r="I882" t="s">
        <v>271</v>
      </c>
      <c r="M882">
        <v>2023</v>
      </c>
      <c r="O882" t="s">
        <v>45</v>
      </c>
      <c r="Q882" t="s">
        <v>1606</v>
      </c>
      <c r="R882" s="146" t="s">
        <v>1196</v>
      </c>
      <c r="S882" s="126">
        <v>6156</v>
      </c>
    </row>
    <row r="883" spans="1:20" x14ac:dyDescent="0.3">
      <c r="A883" t="s">
        <v>190</v>
      </c>
      <c r="C883" s="15" t="s">
        <v>1193</v>
      </c>
      <c r="D883" t="s">
        <v>36</v>
      </c>
      <c r="E883" t="s">
        <v>37</v>
      </c>
      <c r="F883" t="s">
        <v>38</v>
      </c>
      <c r="G883" t="s">
        <v>39</v>
      </c>
      <c r="H883">
        <v>2023</v>
      </c>
      <c r="I883" t="s">
        <v>271</v>
      </c>
      <c r="M883">
        <v>2023</v>
      </c>
      <c r="O883" t="s">
        <v>45</v>
      </c>
      <c r="Q883" t="s">
        <v>1606</v>
      </c>
      <c r="R883" s="146" t="s">
        <v>1197</v>
      </c>
      <c r="S883" s="126">
        <v>5337</v>
      </c>
    </row>
    <row r="884" spans="1:20" x14ac:dyDescent="0.3">
      <c r="A884" t="s">
        <v>190</v>
      </c>
      <c r="C884" s="15" t="s">
        <v>1193</v>
      </c>
      <c r="D884" t="s">
        <v>36</v>
      </c>
      <c r="E884" t="s">
        <v>37</v>
      </c>
      <c r="F884" t="s">
        <v>38</v>
      </c>
      <c r="G884" t="s">
        <v>39</v>
      </c>
      <c r="H884">
        <v>2023</v>
      </c>
      <c r="I884" t="s">
        <v>271</v>
      </c>
      <c r="M884">
        <v>2023</v>
      </c>
      <c r="O884" t="s">
        <v>45</v>
      </c>
      <c r="Q884" t="s">
        <v>1607</v>
      </c>
      <c r="R884" s="146" t="s">
        <v>1198</v>
      </c>
      <c r="S884" s="126">
        <v>63984</v>
      </c>
    </row>
    <row r="885" spans="1:20" x14ac:dyDescent="0.3">
      <c r="A885" t="s">
        <v>190</v>
      </c>
      <c r="C885" s="15" t="s">
        <v>1193</v>
      </c>
      <c r="D885" t="s">
        <v>36</v>
      </c>
      <c r="E885" t="s">
        <v>37</v>
      </c>
      <c r="F885" t="s">
        <v>38</v>
      </c>
      <c r="G885" t="s">
        <v>39</v>
      </c>
      <c r="H885">
        <v>2023</v>
      </c>
      <c r="I885" t="s">
        <v>271</v>
      </c>
      <c r="M885">
        <v>2023</v>
      </c>
      <c r="O885" t="s">
        <v>45</v>
      </c>
      <c r="Q885" t="s">
        <v>1607</v>
      </c>
      <c r="R885" s="146" t="s">
        <v>1199</v>
      </c>
      <c r="S885" s="126">
        <v>69123</v>
      </c>
    </row>
    <row r="886" spans="1:20" x14ac:dyDescent="0.3">
      <c r="A886" t="s">
        <v>190</v>
      </c>
      <c r="C886" s="15" t="s">
        <v>1193</v>
      </c>
      <c r="D886" t="s">
        <v>36</v>
      </c>
      <c r="E886" t="s">
        <v>37</v>
      </c>
      <c r="F886" t="s">
        <v>38</v>
      </c>
      <c r="G886" t="s">
        <v>39</v>
      </c>
      <c r="H886">
        <v>2023</v>
      </c>
      <c r="I886" t="s">
        <v>271</v>
      </c>
      <c r="M886">
        <v>2023</v>
      </c>
      <c r="O886" t="s">
        <v>45</v>
      </c>
      <c r="R886" s="148" t="s">
        <v>1200</v>
      </c>
      <c r="S886" s="64">
        <f>((S881/S880)*100)-100</f>
        <v>-28.683997607907969</v>
      </c>
    </row>
    <row r="887" spans="1:20" x14ac:dyDescent="0.3">
      <c r="A887" t="s">
        <v>190</v>
      </c>
      <c r="C887" s="15" t="s">
        <v>1193</v>
      </c>
      <c r="D887" t="s">
        <v>36</v>
      </c>
      <c r="E887" t="s">
        <v>37</v>
      </c>
      <c r="F887" t="s">
        <v>38</v>
      </c>
      <c r="G887" t="s">
        <v>39</v>
      </c>
      <c r="H887">
        <v>2023</v>
      </c>
      <c r="I887" t="s">
        <v>271</v>
      </c>
      <c r="M887">
        <v>2023</v>
      </c>
      <c r="O887" t="s">
        <v>45</v>
      </c>
      <c r="R887" s="148" t="s">
        <v>1201</v>
      </c>
      <c r="S887" s="64">
        <f>(((S883/S882)*100)-100)</f>
        <v>-13.304093567251456</v>
      </c>
    </row>
    <row r="888" spans="1:20" x14ac:dyDescent="0.3">
      <c r="A888" t="s">
        <v>190</v>
      </c>
      <c r="C888" s="15" t="s">
        <v>1193</v>
      </c>
      <c r="D888" t="s">
        <v>36</v>
      </c>
      <c r="E888" t="s">
        <v>37</v>
      </c>
      <c r="F888" t="s">
        <v>38</v>
      </c>
      <c r="G888" t="s">
        <v>39</v>
      </c>
      <c r="H888">
        <v>2023</v>
      </c>
      <c r="I888" t="s">
        <v>271</v>
      </c>
      <c r="M888">
        <v>2023</v>
      </c>
      <c r="O888" t="s">
        <v>45</v>
      </c>
      <c r="R888" s="96" t="s">
        <v>1202</v>
      </c>
      <c r="S888" s="64">
        <f>(((S885/S884)*100)-100)</f>
        <v>8.0316954238559504</v>
      </c>
      <c r="T888" s="155" t="str">
        <f>IF(S886="+",5,IF(S886="-",2,""))</f>
        <v/>
      </c>
    </row>
    <row r="889" spans="1:20" x14ac:dyDescent="0.3">
      <c r="A889" t="s">
        <v>198</v>
      </c>
      <c r="C889" s="15" t="s">
        <v>1204</v>
      </c>
      <c r="D889" t="s">
        <v>36</v>
      </c>
      <c r="E889" t="s">
        <v>37</v>
      </c>
      <c r="F889" t="s">
        <v>38</v>
      </c>
      <c r="G889" t="s">
        <v>39</v>
      </c>
      <c r="H889">
        <v>2023</v>
      </c>
      <c r="I889" t="s">
        <v>271</v>
      </c>
      <c r="M889">
        <v>2023</v>
      </c>
      <c r="O889" t="s">
        <v>45</v>
      </c>
      <c r="Q889" t="s">
        <v>1608</v>
      </c>
      <c r="R889" s="126" t="s">
        <v>1205</v>
      </c>
      <c r="S889" s="126">
        <v>40168.660000000003</v>
      </c>
      <c r="T889" s="155" t="str">
        <f>IF(S888="+",2,IF(S888="-",5,""))</f>
        <v/>
      </c>
    </row>
    <row r="890" spans="1:20" x14ac:dyDescent="0.3">
      <c r="A890" t="s">
        <v>198</v>
      </c>
      <c r="C890" s="15" t="s">
        <v>1204</v>
      </c>
      <c r="D890" t="s">
        <v>36</v>
      </c>
      <c r="E890" t="s">
        <v>37</v>
      </c>
      <c r="F890" t="s">
        <v>38</v>
      </c>
      <c r="G890" t="s">
        <v>39</v>
      </c>
      <c r="H890">
        <v>2023</v>
      </c>
      <c r="I890" t="s">
        <v>271</v>
      </c>
      <c r="M890">
        <v>2023</v>
      </c>
      <c r="O890" t="s">
        <v>45</v>
      </c>
      <c r="Q890" t="s">
        <v>1608</v>
      </c>
      <c r="R890" s="126" t="s">
        <v>1206</v>
      </c>
      <c r="S890" s="126">
        <v>19862.490000000002</v>
      </c>
    </row>
    <row r="891" spans="1:20" x14ac:dyDescent="0.3">
      <c r="A891" t="s">
        <v>198</v>
      </c>
      <c r="C891" s="15" t="s">
        <v>1204</v>
      </c>
      <c r="D891" t="s">
        <v>36</v>
      </c>
      <c r="E891" t="s">
        <v>37</v>
      </c>
      <c r="F891" t="s">
        <v>38</v>
      </c>
      <c r="G891" t="s">
        <v>39</v>
      </c>
      <c r="H891">
        <v>2023</v>
      </c>
      <c r="I891" t="s">
        <v>271</v>
      </c>
      <c r="M891">
        <v>2023</v>
      </c>
      <c r="O891" t="s">
        <v>45</v>
      </c>
      <c r="Q891" t="s">
        <v>1608</v>
      </c>
      <c r="R891" s="126" t="s">
        <v>1207</v>
      </c>
      <c r="S891" s="126">
        <v>60029.17</v>
      </c>
    </row>
    <row r="892" spans="1:20" x14ac:dyDescent="0.3">
      <c r="A892" t="s">
        <v>198</v>
      </c>
      <c r="C892" s="15" t="s">
        <v>1204</v>
      </c>
      <c r="D892" t="s">
        <v>36</v>
      </c>
      <c r="E892" t="s">
        <v>37</v>
      </c>
      <c r="F892" t="s">
        <v>38</v>
      </c>
      <c r="G892" t="s">
        <v>39</v>
      </c>
      <c r="H892">
        <v>2023</v>
      </c>
      <c r="I892" t="s">
        <v>271</v>
      </c>
      <c r="M892">
        <v>2023</v>
      </c>
      <c r="O892" t="s">
        <v>45</v>
      </c>
      <c r="Q892" t="s">
        <v>1608</v>
      </c>
      <c r="R892" s="126" t="s">
        <v>1208</v>
      </c>
      <c r="S892">
        <v>34396.639999999999</v>
      </c>
    </row>
    <row r="893" spans="1:20" x14ac:dyDescent="0.3">
      <c r="A893" t="s">
        <v>198</v>
      </c>
      <c r="C893" s="15" t="s">
        <v>1204</v>
      </c>
      <c r="D893" t="s">
        <v>36</v>
      </c>
      <c r="E893" t="s">
        <v>37</v>
      </c>
      <c r="F893" t="s">
        <v>38</v>
      </c>
      <c r="G893" t="s">
        <v>39</v>
      </c>
      <c r="H893">
        <v>2023</v>
      </c>
      <c r="I893" t="s">
        <v>271</v>
      </c>
      <c r="M893">
        <v>2023</v>
      </c>
      <c r="O893" t="s">
        <v>45</v>
      </c>
      <c r="Q893" t="s">
        <v>1608</v>
      </c>
      <c r="R893" s="126" t="s">
        <v>1209</v>
      </c>
      <c r="S893">
        <v>17263.189999999999</v>
      </c>
    </row>
    <row r="894" spans="1:20" x14ac:dyDescent="0.3">
      <c r="A894" t="s">
        <v>198</v>
      </c>
      <c r="C894" s="15" t="s">
        <v>1204</v>
      </c>
      <c r="D894" t="s">
        <v>36</v>
      </c>
      <c r="E894" t="s">
        <v>37</v>
      </c>
      <c r="F894" t="s">
        <v>38</v>
      </c>
      <c r="G894" t="s">
        <v>39</v>
      </c>
      <c r="H894">
        <v>2023</v>
      </c>
      <c r="I894" t="s">
        <v>271</v>
      </c>
      <c r="M894">
        <v>2023</v>
      </c>
      <c r="O894" t="s">
        <v>45</v>
      </c>
      <c r="Q894" t="s">
        <v>1608</v>
      </c>
      <c r="R894" s="126" t="s">
        <v>1210</v>
      </c>
      <c r="S894">
        <v>51659.83</v>
      </c>
    </row>
    <row r="895" spans="1:20" x14ac:dyDescent="0.3">
      <c r="A895" t="s">
        <v>198</v>
      </c>
      <c r="C895" s="15" t="s">
        <v>1212</v>
      </c>
      <c r="D895" t="s">
        <v>36</v>
      </c>
      <c r="E895" t="s">
        <v>37</v>
      </c>
      <c r="F895" t="s">
        <v>38</v>
      </c>
      <c r="G895" t="s">
        <v>39</v>
      </c>
      <c r="H895">
        <v>2023</v>
      </c>
      <c r="I895" t="s">
        <v>271</v>
      </c>
      <c r="M895">
        <v>2023</v>
      </c>
      <c r="O895" t="s">
        <v>45</v>
      </c>
      <c r="R895" s="126" t="s">
        <v>1214</v>
      </c>
      <c r="S895">
        <v>8423829</v>
      </c>
    </row>
    <row r="896" spans="1:20" x14ac:dyDescent="0.3">
      <c r="A896" t="s">
        <v>198</v>
      </c>
      <c r="C896" s="15" t="s">
        <v>1212</v>
      </c>
      <c r="D896" t="s">
        <v>36</v>
      </c>
      <c r="E896" t="s">
        <v>37</v>
      </c>
      <c r="F896" t="s">
        <v>38</v>
      </c>
      <c r="G896" t="s">
        <v>39</v>
      </c>
      <c r="H896">
        <v>2023</v>
      </c>
      <c r="I896" t="s">
        <v>271</v>
      </c>
      <c r="M896">
        <v>2023</v>
      </c>
      <c r="O896" t="s">
        <v>45</v>
      </c>
      <c r="R896" s="126" t="s">
        <v>1213</v>
      </c>
      <c r="S896">
        <v>8738339</v>
      </c>
    </row>
    <row r="897" spans="1:19" x14ac:dyDescent="0.3">
      <c r="A897" t="s">
        <v>198</v>
      </c>
      <c r="C897" t="s">
        <v>1215</v>
      </c>
      <c r="D897" t="s">
        <v>36</v>
      </c>
      <c r="E897" t="s">
        <v>37</v>
      </c>
      <c r="F897" t="s">
        <v>38</v>
      </c>
      <c r="G897" t="s">
        <v>39</v>
      </c>
      <c r="H897">
        <v>2023</v>
      </c>
      <c r="I897" t="s">
        <v>271</v>
      </c>
      <c r="M897">
        <v>2023</v>
      </c>
      <c r="O897" t="s">
        <v>45</v>
      </c>
      <c r="Q897" t="s">
        <v>1609</v>
      </c>
      <c r="R897" s="126" t="s">
        <v>1216</v>
      </c>
      <c r="S897">
        <v>18798.913</v>
      </c>
    </row>
    <row r="898" spans="1:19" x14ac:dyDescent="0.3">
      <c r="A898" t="s">
        <v>198</v>
      </c>
      <c r="C898" t="s">
        <v>1215</v>
      </c>
      <c r="D898" t="s">
        <v>36</v>
      </c>
      <c r="E898" t="s">
        <v>37</v>
      </c>
      <c r="F898" t="s">
        <v>38</v>
      </c>
      <c r="G898" t="s">
        <v>39</v>
      </c>
      <c r="H898">
        <v>2023</v>
      </c>
      <c r="I898" t="s">
        <v>271</v>
      </c>
      <c r="M898">
        <v>2023</v>
      </c>
      <c r="O898" t="s">
        <v>45</v>
      </c>
      <c r="Q898" t="s">
        <v>1610</v>
      </c>
      <c r="R898" s="126" t="s">
        <v>1217</v>
      </c>
      <c r="S898">
        <v>1371.394</v>
      </c>
    </row>
    <row r="899" spans="1:19" x14ac:dyDescent="0.3">
      <c r="A899" t="s">
        <v>198</v>
      </c>
      <c r="C899" t="s">
        <v>1215</v>
      </c>
      <c r="D899" t="s">
        <v>36</v>
      </c>
      <c r="E899" t="s">
        <v>37</v>
      </c>
      <c r="F899" t="s">
        <v>38</v>
      </c>
      <c r="G899" t="s">
        <v>39</v>
      </c>
      <c r="H899">
        <v>2023</v>
      </c>
      <c r="I899" t="s">
        <v>271</v>
      </c>
      <c r="M899">
        <v>2023</v>
      </c>
      <c r="O899" t="s">
        <v>45</v>
      </c>
      <c r="R899" s="149" t="s">
        <v>1220</v>
      </c>
      <c r="S899" s="64">
        <f>((S897-S898)/S897)*100</f>
        <v>92.704929269048691</v>
      </c>
    </row>
    <row r="900" spans="1:19" x14ac:dyDescent="0.3">
      <c r="A900" t="s">
        <v>198</v>
      </c>
      <c r="C900" t="s">
        <v>1215</v>
      </c>
      <c r="D900" t="s">
        <v>36</v>
      </c>
      <c r="E900" t="s">
        <v>37</v>
      </c>
      <c r="F900" t="s">
        <v>38</v>
      </c>
      <c r="G900" t="s">
        <v>39</v>
      </c>
      <c r="H900">
        <v>2023</v>
      </c>
      <c r="I900" t="s">
        <v>271</v>
      </c>
      <c r="M900">
        <v>2023</v>
      </c>
      <c r="O900" t="s">
        <v>45</v>
      </c>
      <c r="R900" t="s">
        <v>1221</v>
      </c>
      <c r="S900" s="150">
        <v>93.108000000000004</v>
      </c>
    </row>
    <row r="901" spans="1:19" x14ac:dyDescent="0.3">
      <c r="A901" t="s">
        <v>198</v>
      </c>
      <c r="C901" t="s">
        <v>1219</v>
      </c>
      <c r="D901" t="s">
        <v>36</v>
      </c>
      <c r="E901" t="s">
        <v>37</v>
      </c>
      <c r="F901" t="s">
        <v>38</v>
      </c>
      <c r="G901" t="s">
        <v>39</v>
      </c>
      <c r="H901">
        <v>2023</v>
      </c>
      <c r="I901" t="s">
        <v>271</v>
      </c>
      <c r="M901">
        <v>2023</v>
      </c>
      <c r="O901" t="s">
        <v>45</v>
      </c>
      <c r="Q901" t="s">
        <v>1611</v>
      </c>
      <c r="R901" s="126" t="s">
        <v>1222</v>
      </c>
      <c r="S901">
        <v>6</v>
      </c>
    </row>
    <row r="902" spans="1:19" x14ac:dyDescent="0.3">
      <c r="A902" t="s">
        <v>198</v>
      </c>
      <c r="C902" t="s">
        <v>1219</v>
      </c>
      <c r="D902" t="s">
        <v>36</v>
      </c>
      <c r="E902" t="s">
        <v>37</v>
      </c>
      <c r="F902" t="s">
        <v>38</v>
      </c>
      <c r="G902" t="s">
        <v>39</v>
      </c>
      <c r="H902">
        <v>2023</v>
      </c>
      <c r="I902" t="s">
        <v>271</v>
      </c>
      <c r="M902">
        <v>2023</v>
      </c>
      <c r="O902" t="s">
        <v>45</v>
      </c>
      <c r="Q902" t="s">
        <v>1612</v>
      </c>
      <c r="R902" t="s">
        <v>1223</v>
      </c>
      <c r="S902">
        <v>11</v>
      </c>
    </row>
  </sheetData>
  <mergeCells count="4">
    <mergeCell ref="O1:S1"/>
    <mergeCell ref="A1:H1"/>
    <mergeCell ref="I1:K1"/>
    <mergeCell ref="L1:N1"/>
  </mergeCells>
  <phoneticPr fontId="14" type="noConversion"/>
  <dataValidations count="11">
    <dataValidation type="list" allowBlank="1" showInputMessage="1" showErrorMessage="1" sqref="O4:O902" xr:uid="{9057CC9A-B26B-4B5C-902B-ACBCAE1E71C1}">
      <formula1>"Cuantitativo,Cualitativo"</formula1>
    </dataValidation>
    <dataValidation type="list" allowBlank="1" showInputMessage="1" showErrorMessage="1" sqref="P247:P693 P4:P86" xr:uid="{936D258D-5582-4480-B5F8-E49E1DE84492}">
      <formula1>"Entero (Integer int), Flotante (Float  Double), Booleano (Boolean bool), Carácter (Characterchar), Cadena de texto (String str)."</formula1>
    </dataValidation>
    <dataValidation type="list" allowBlank="1" showInputMessage="1" showErrorMessage="1" sqref="S10" xr:uid="{9F133351-5C6C-4247-BA22-55DC4420AA82}">
      <formula1>"Si,No"</formula1>
    </dataValidation>
    <dataValidation type="list" allowBlank="1" showInputMessage="1" showErrorMessage="1" sqref="C35:C86 C681:C700" xr:uid="{62FAE838-9352-49AF-8C18-87B14671DB3C}">
      <formula1>INDIRECT(A35)</formula1>
    </dataValidation>
    <dataValidation type="list" allowBlank="1" showInputMessage="1" showErrorMessage="1" sqref="S19" xr:uid="{18A18869-6D8C-4A37-A7E5-329E701B5619}">
      <formula1>"Alta,Baja"</formula1>
    </dataValidation>
    <dataValidation type="list" allowBlank="1" showInputMessage="1" showErrorMessage="1" sqref="S30" xr:uid="{1871F0B1-BC9D-4F79-B4B1-B0D786A710BB}">
      <formula1>"Muy alto, Alto,Bajo,Muy bajo "</formula1>
    </dataValidation>
    <dataValidation type="list" allowBlank="1" showInputMessage="1" showErrorMessage="1" sqref="C35:C86 C247:C252" xr:uid="{15BCAE93-6C4E-4C17-B184-A0E8BA29C3B5}">
      <formula1>INDIRECT($A$247)</formula1>
    </dataValidation>
    <dataValidation type="list" allowBlank="1" showInputMessage="1" showErrorMessage="1" sqref="F4:F902" xr:uid="{62CBF648-2F95-4145-8234-D07A87E388DF}">
      <formula1>"Anual,Semestral,Trimestral,Mensual,Diario,Otra"</formula1>
    </dataValidation>
    <dataValidation type="list" allowBlank="1" showInputMessage="1" showErrorMessage="1" sqref="G4:G902" xr:uid="{18830716-0ED4-4EF1-87B3-56942BCD3BF6}">
      <formula1>"Nacional,Departamental,Municipal,Otra"</formula1>
    </dataValidation>
    <dataValidation type="list" allowBlank="1" showInputMessage="1" showErrorMessage="1" sqref="D4:D903" xr:uid="{F3C69E26-9DA2-4E14-B041-ADA902E52FE9}">
      <formula1>subsector</formula1>
    </dataValidation>
    <dataValidation type="list" allowBlank="1" showInputMessage="1" showErrorMessage="1" sqref="A4:B700" xr:uid="{3E023E10-77A4-4F6E-AA50-BA31A060495E}">
      <formula1>Dimensiones</formula1>
    </dataValidation>
  </dataValidations>
  <hyperlinks>
    <hyperlink ref="N4" r:id="rId1" xr:uid="{CC9AF8CB-3AE7-4866-8E52-B47908EFBAAE}"/>
    <hyperlink ref="N5" r:id="rId2" xr:uid="{01BF6C3A-4C67-41A4-A100-5DAC396A8C80}"/>
    <hyperlink ref="N7" r:id="rId3" display="https://www.minenergia.gov.co/es/misional/gestión-social-y-ambiental/derechos-humanos/" xr:uid="{0CA6F201-B6A2-4873-8D88-A36A853A7B2D}"/>
    <hyperlink ref="N8" r:id="rId4" display="https://www.minenergia.gov.co/es/misional/gestión-social-y-ambiental/derechos-humanos/" xr:uid="{827B92CE-7204-4EA4-B5F7-3166E935CF5B}"/>
    <hyperlink ref="N10" r:id="rId5" display="https://www.minenergia.gov.co/es/ministerio/gestión/presupuesto/presupuesto-general-asignado/" xr:uid="{6C1CD25B-2228-4002-B9D9-ABC8FDA379D4}"/>
    <hyperlink ref="N16" r:id="rId6" display="https://www.minenergia.gov.co/es/servicio-al-ciudadano/foros/" xr:uid="{00BD8C24-E365-4F7B-9F8C-0E9C4DC6A611}"/>
    <hyperlink ref="N17" r:id="rId7" display="https://www.minenergia.gov.co/es/servicio-al-ciudadano/foros/" xr:uid="{6598BEFB-2B0D-481C-B6B1-78B5E660C780}"/>
    <hyperlink ref="N19" r:id="rId8" xr:uid="{EE12E60B-4ED5-4A94-A967-4E509EE0CFC4}"/>
    <hyperlink ref="N20" r:id="rId9" xr:uid="{4A879E7A-C11B-4D05-A0D9-18606F4A9BD4}"/>
    <hyperlink ref="N21" r:id="rId10" xr:uid="{7410C126-BD96-47CC-8578-BCA3E02CD2DE}"/>
  </hyperlinks>
  <pageMargins left="0.7" right="0.7" top="0.75" bottom="0.75" header="0.3" footer="0.3"/>
  <pageSetup orientation="portrait" r:id="rId11"/>
  <ignoredErrors>
    <ignoredError sqref="S69 S6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39422-3F16-4168-80A1-08E16FFB2068}">
  <dimension ref="A1:G74"/>
  <sheetViews>
    <sheetView zoomScale="85" zoomScaleNormal="85" workbookViewId="0">
      <selection activeCell="C5" sqref="C5"/>
    </sheetView>
  </sheetViews>
  <sheetFormatPr baseColWidth="10" defaultRowHeight="14.4" x14ac:dyDescent="0.3"/>
  <cols>
    <col min="2" max="2" width="67.44140625" customWidth="1"/>
    <col min="3" max="3" width="43.6640625" customWidth="1"/>
    <col min="4" max="4" width="26.88671875" customWidth="1"/>
    <col min="5" max="5" width="25.33203125" customWidth="1"/>
    <col min="6" max="6" width="31.33203125" customWidth="1"/>
  </cols>
  <sheetData>
    <row r="1" spans="1:7" x14ac:dyDescent="0.3">
      <c r="D1" s="158"/>
      <c r="E1" s="158"/>
      <c r="F1" s="158"/>
      <c r="G1" s="158"/>
    </row>
    <row r="2" spans="1:7" ht="66" x14ac:dyDescent="0.3">
      <c r="A2" s="21" t="s">
        <v>109</v>
      </c>
      <c r="B2" s="2" t="s">
        <v>107</v>
      </c>
      <c r="C2" s="40" t="s">
        <v>26</v>
      </c>
      <c r="D2" s="2" t="s">
        <v>17</v>
      </c>
      <c r="E2" s="2" t="s">
        <v>18</v>
      </c>
      <c r="F2" s="2" t="s">
        <v>108</v>
      </c>
      <c r="G2" s="2" t="s">
        <v>19</v>
      </c>
    </row>
    <row r="3" spans="1:7" ht="100.2" customHeight="1" x14ac:dyDescent="0.3">
      <c r="A3" s="41">
        <v>1</v>
      </c>
      <c r="B3" s="15" t="s">
        <v>280</v>
      </c>
      <c r="C3" s="15" t="s">
        <v>279</v>
      </c>
      <c r="D3" s="16">
        <f>IF(Variable_indicador!S6&gt;=80,5,
IF(Variable_indicador!S6&gt;=60,3.75,
IF(Variable_indicador!S6&gt;=40,2.5,
IF(Variable_indicador!S6&gt;=20,1.25,
0))))+IF(Variable_indicador!S9&gt;80,12,
IF(Variable_indicador!S9&gt;60,9,
IF(Variable_indicador!S9&gt;40,6,
IF(Variable_indicador!S9&gt;20,3,
0))))+IF(Variable_indicador!S10="Si", 4, 0)</f>
        <v>7.75</v>
      </c>
      <c r="E3" s="7" t="s">
        <v>47</v>
      </c>
      <c r="F3" s="15" t="s">
        <v>278</v>
      </c>
      <c r="G3" s="86">
        <f t="shared" ref="G3:G10" si="0">D3</f>
        <v>7.75</v>
      </c>
    </row>
    <row r="4" spans="1:7" ht="100.2" customHeight="1" x14ac:dyDescent="0.3">
      <c r="A4" s="41">
        <v>2</v>
      </c>
      <c r="B4" s="15" t="s">
        <v>124</v>
      </c>
      <c r="C4" s="15"/>
      <c r="D4" s="16">
        <f>IF(Variable_indicador!S13&lt;=20,1.4,IF(Variable_indicador!S13&lt;=40,2.8,IF(Variable_indicador!S13&lt;=60,4.2,IF(Variable_indicador!S13&lt;=80,5.6,7))))+IF(Variable_indicador!S15&lt;=20,1.4,IF(Variable_indicador!S15&lt;=40,2.8,IF(Variable_indicador!S15&lt;=60,4.2,IF(Variable_indicador!S15&lt;=80,5.6,7))))</f>
        <v>2.8</v>
      </c>
      <c r="E4" s="7"/>
      <c r="F4" s="15" t="s">
        <v>300</v>
      </c>
      <c r="G4" s="86">
        <f t="shared" si="0"/>
        <v>2.8</v>
      </c>
    </row>
    <row r="5" spans="1:7" ht="100.2" customHeight="1" x14ac:dyDescent="0.3">
      <c r="A5" s="41">
        <v>3</v>
      </c>
      <c r="B5" s="15" t="s">
        <v>305</v>
      </c>
      <c r="C5" s="15"/>
      <c r="D5" s="16">
        <f>IF(Variable_indicador!S18&lt;=20,0,IF(Variable_indicador!S18&lt;=40,5.3,IF(Variable_indicador!S18&lt;=60,10.5,IF(Variable_indicador!S18&lt;=80,15.3,21))))</f>
        <v>15.3</v>
      </c>
      <c r="E5" s="7"/>
      <c r="F5" s="15" t="s">
        <v>306</v>
      </c>
      <c r="G5" s="86">
        <f t="shared" si="0"/>
        <v>15.3</v>
      </c>
    </row>
    <row r="6" spans="1:7" ht="100.2" customHeight="1" x14ac:dyDescent="0.3">
      <c r="A6" s="41">
        <v>4</v>
      </c>
      <c r="B6" s="15" t="s">
        <v>128</v>
      </c>
      <c r="C6" s="15"/>
      <c r="D6" s="16">
        <f>IF(Variable_indicador!S19="Alta", 5, IF(Variable_indicador!S19="Baja", 0, ""))+IF(Variable_indicador!S22&lt;=20,1,IF(Variable_indicador!S22&lt;=40,5.3,IF(Variable_indicador!S22&lt;=60,7,IF(Variable_indicador!S22&lt;=80,10.5,14))))</f>
        <v>1</v>
      </c>
      <c r="E6" s="7"/>
      <c r="F6" s="15" t="s">
        <v>314</v>
      </c>
      <c r="G6" s="86">
        <f t="shared" si="0"/>
        <v>1</v>
      </c>
    </row>
    <row r="7" spans="1:7" ht="100.2" customHeight="1" x14ac:dyDescent="0.3">
      <c r="A7" s="41">
        <v>5</v>
      </c>
      <c r="B7" s="15" t="s">
        <v>319</v>
      </c>
      <c r="C7" s="15"/>
      <c r="D7" s="16">
        <f>IF(Variable_indicador!S25&lt;=20,1,IF(Variable_indicador!S25&lt;=40,5.3,IF(Variable_indicador!S25&lt;=60,10.5,IF(Variable_indicador!S23&lt;=80,15.3,21))))</f>
        <v>15.3</v>
      </c>
      <c r="E7" s="7"/>
      <c r="F7" s="15" t="s">
        <v>320</v>
      </c>
      <c r="G7" s="86">
        <f t="shared" si="0"/>
        <v>15.3</v>
      </c>
    </row>
    <row r="8" spans="1:7" ht="100.2" customHeight="1" x14ac:dyDescent="0.3">
      <c r="A8" s="41">
        <v>6</v>
      </c>
      <c r="B8" s="15" t="s">
        <v>327</v>
      </c>
      <c r="C8" s="15"/>
      <c r="D8" s="16">
        <f>IF(Variable_indicador!S29&lt;=20,4.2,IF(Variable_indicador!S29&lt;=40,8.4,IF(Variable_indicador!S29&lt;=60,12.6,IF(Variable_indicador!S29&lt;=80,18.6,21))))</f>
        <v>4.2</v>
      </c>
      <c r="E8" s="7"/>
      <c r="F8" s="15" t="s">
        <v>328</v>
      </c>
      <c r="G8" s="86">
        <f t="shared" si="0"/>
        <v>4.2</v>
      </c>
    </row>
    <row r="9" spans="1:7" ht="100.2" customHeight="1" x14ac:dyDescent="0.3">
      <c r="A9" s="41">
        <v>7</v>
      </c>
      <c r="B9" s="15" t="s">
        <v>334</v>
      </c>
      <c r="C9" s="15"/>
      <c r="D9" s="17">
        <f>IF(Variable_indicador!S30="Muy alto", 4, IF(Variable_indicador!S30="Alto", 3, IF(Variable_indicador!S30="Bajo", 2, IF(Variable_indicador!S30="Muy bajo", 1, ""))))+IF(Variable_indicador!S31&lt;=20,1,IF(Variable_indicador!S31&lt;=40,4,IF(Variable_indicador!S31&lt;=60,7.5,IF(Variable_indicador!S31&lt;=80,11,15))))</f>
        <v>4</v>
      </c>
      <c r="E9" s="7"/>
      <c r="F9" s="15" t="s">
        <v>333</v>
      </c>
      <c r="G9" s="87">
        <f t="shared" si="0"/>
        <v>4</v>
      </c>
    </row>
    <row r="10" spans="1:7" ht="100.2" customHeight="1" x14ac:dyDescent="0.3">
      <c r="A10" s="41">
        <v>8</v>
      </c>
      <c r="B10" s="15" t="s">
        <v>336</v>
      </c>
      <c r="C10" s="15"/>
      <c r="D10" s="16">
        <f>IF(Variable_indicador!S31&lt;=20,2,IF(Variable_indicador!S31&lt;=40,4.25,IF(Variable_indicador!S31&lt;=60,8.5,IF(Variable_indicador!S31&lt;=80,12.3,19))))</f>
        <v>2</v>
      </c>
      <c r="E10" s="7"/>
      <c r="F10" s="15" t="s">
        <v>340</v>
      </c>
      <c r="G10" s="86">
        <f t="shared" si="0"/>
        <v>2</v>
      </c>
    </row>
    <row r="11" spans="1:7" ht="28.8" x14ac:dyDescent="0.3">
      <c r="A11" s="62">
        <v>9</v>
      </c>
      <c r="B11" s="63" t="s">
        <v>341</v>
      </c>
      <c r="C11" s="62"/>
      <c r="D11" s="72">
        <f>((Variable_indicador!S35/Variable_indicador!$S$40)*Variable_indicador!S41)*100+((Variable_indicador!S36/Variable_indicador!$S$40)*Variable_indicador!S42)*100+((Variable_indicador!S37/Variable_indicador!$S$40)*Variable_indicador!S43)*100+((Variable_indicador!S38/Variable_indicador!$S$40)*Variable_indicador!S44)*100+((Variable_indicador!S39/Variable_indicador!$S$40)*Variable_indicador!S45)*100</f>
        <v>84.899371334542849</v>
      </c>
      <c r="E11" s="73" t="s">
        <v>47</v>
      </c>
      <c r="F11" s="74" t="s">
        <v>342</v>
      </c>
      <c r="G11" s="75">
        <f>IF(D11&gt;=90,24,
 IF(D11&gt;=75,19,
 IF(D11&gt;=50,15,
 IF(D11&gt;=30,8,
 5))))</f>
        <v>19</v>
      </c>
    </row>
    <row r="12" spans="1:7" ht="43.2" x14ac:dyDescent="0.3">
      <c r="A12" s="62">
        <v>10</v>
      </c>
      <c r="B12" s="63" t="s">
        <v>141</v>
      </c>
      <c r="C12" s="62"/>
      <c r="D12" s="76">
        <f>(Variable_indicador!S72+Variable_indicador!S73+Variable_indicador!S74+Variable_indicador!S75+Variable_indicador!S76+Variable_indicador!S77)/6</f>
        <v>27.625028755463532</v>
      </c>
      <c r="E12" s="77" t="s">
        <v>47</v>
      </c>
      <c r="F12" s="74" t="s">
        <v>361</v>
      </c>
      <c r="G12" s="75">
        <f>IF(D12&gt;40,19,
   IF(D12&gt;25,15,
   IF(D12&gt;10,12,
   IF(AND(D12&gt;=-10,D12&lt;=10),10,
   IF(AND(D12&gt;=-25,D12&lt;-10),8,"")))))</f>
        <v>15</v>
      </c>
    </row>
    <row r="13" spans="1:7" ht="28.8" x14ac:dyDescent="0.3">
      <c r="A13" s="62">
        <v>11</v>
      </c>
      <c r="B13" s="63" t="s">
        <v>362</v>
      </c>
      <c r="C13" s="62"/>
      <c r="D13" s="76">
        <f>((Variable_indicador!S78+Variable_indicador!S79+Variable_indicador!S80)/Variable_indicador!S82)*100</f>
        <v>35.251798561151077</v>
      </c>
      <c r="E13" s="80" t="s">
        <v>47</v>
      </c>
      <c r="F13" s="74" t="s">
        <v>363</v>
      </c>
      <c r="G13" s="75">
        <f>IF(D13&lt;=9.99,24,
 IF(D13&lt;=24.99,21,
 IF(D13&lt;=49.99,18,
 IF(D13&lt;=74.99,12,
 6))))</f>
        <v>18</v>
      </c>
    </row>
    <row r="14" spans="1:7" ht="28.8" x14ac:dyDescent="0.3">
      <c r="A14">
        <v>12</v>
      </c>
      <c r="B14" s="15" t="s">
        <v>145</v>
      </c>
      <c r="D14" s="17">
        <f>(Variable_indicador!S83+Variable_indicador!S84+Variable_indicador!S85+Variable_indicador!S86)/4</f>
        <v>94.3125</v>
      </c>
      <c r="E14" s="7" t="s">
        <v>47</v>
      </c>
      <c r="F14" s="79" t="s">
        <v>368</v>
      </c>
      <c r="G14" s="16">
        <f>IF(D14&gt;=95, 22, IF(D14&gt;=90, 16, IF(D14&gt;75, 10, IF(D14&gt;=70, 5, ""))))</f>
        <v>16</v>
      </c>
    </row>
    <row r="15" spans="1:7" ht="28.8" x14ac:dyDescent="0.3">
      <c r="A15">
        <v>13</v>
      </c>
      <c r="B15" s="15" t="s">
        <v>148</v>
      </c>
      <c r="D15" s="17">
        <f>Variable_indicador!S99+Variable_indicador!S100+Variable_indicador!S101</f>
        <v>1507.5000000000002</v>
      </c>
      <c r="E15" s="7" t="s">
        <v>47</v>
      </c>
      <c r="F15" s="79" t="s">
        <v>386</v>
      </c>
      <c r="G15" s="16">
        <f>IF(D15&gt;0, 17, 8)</f>
        <v>17</v>
      </c>
    </row>
    <row r="16" spans="1:7" x14ac:dyDescent="0.3">
      <c r="A16">
        <v>14</v>
      </c>
      <c r="B16" t="s">
        <v>397</v>
      </c>
      <c r="D16" s="81">
        <f>Variable_indicador!S108+Variable_indicador!S109+Variable_indicador!S110</f>
        <v>39.60000000000003</v>
      </c>
      <c r="G16" s="16">
        <f>IF(D16&gt;0, 17, 8)</f>
        <v>17</v>
      </c>
    </row>
    <row r="17" spans="1:7" ht="43.2" x14ac:dyDescent="0.3">
      <c r="A17">
        <v>15</v>
      </c>
      <c r="B17" t="s">
        <v>420</v>
      </c>
      <c r="D17" s="81">
        <f>SUM(Variable_indicador!S123:S131)</f>
        <v>2975.8630922734742</v>
      </c>
      <c r="F17" s="15" t="s">
        <v>468</v>
      </c>
      <c r="G17">
        <f>IF(COUNTIF(Variable_indicador!S123:S131,"&gt;0")=9,19,
 IF(COUNTIF(Variable_indicador!S123:S131,"&gt;0")=6,14.25,
  IF(COUNTIF(Variable_indicador!S123:S131,"&lt;0")=6,9.5,
   IF(COUNTIF(Variable_indicador!S123:S1855,"&lt;0")=9,4.75)
  )
 )
)</f>
        <v>9.5</v>
      </c>
    </row>
    <row r="18" spans="1:7" ht="57.6" x14ac:dyDescent="0.3">
      <c r="A18">
        <v>16</v>
      </c>
      <c r="B18" s="15" t="s">
        <v>151</v>
      </c>
      <c r="D18" s="13">
        <f>(Variable_indicador!S175+Variable_indicador!S178+Variable_indicador!S179)/3</f>
        <v>43.950025930740956</v>
      </c>
      <c r="E18" s="7"/>
      <c r="F18" s="14" t="s">
        <v>467</v>
      </c>
      <c r="G18" s="11">
        <f>_xlfn.IFS(D18&gt;=76,4.75,D18&gt;=51,9.5,D18&gt;=26,14.25,D18&gt;=0,19)</f>
        <v>14.25</v>
      </c>
    </row>
    <row r="19" spans="1:7" ht="72" x14ac:dyDescent="0.3">
      <c r="A19">
        <v>17</v>
      </c>
      <c r="B19" s="15" t="s">
        <v>547</v>
      </c>
      <c r="D19" s="13">
        <f>(Variable_indicador!S210+Variable_indicador!S213+Variable_indicador!S216)/3</f>
        <v>34.475552173836057</v>
      </c>
      <c r="E19" s="7"/>
      <c r="F19" s="14" t="s">
        <v>509</v>
      </c>
      <c r="G19" s="11">
        <f>_xlfn.IFS(D19&gt;=51,5,D19&gt;=21,10,D19&lt;20,19)</f>
        <v>10</v>
      </c>
    </row>
    <row r="20" spans="1:7" ht="57.6" x14ac:dyDescent="0.3">
      <c r="A20">
        <v>18</v>
      </c>
      <c r="B20" s="15" t="s">
        <v>543</v>
      </c>
      <c r="D20" s="81">
        <f>(Variable_indicador!S244+Variable_indicador!S245+Variable_indicador!S246)/3</f>
        <v>56.339554681991935</v>
      </c>
      <c r="E20" s="7"/>
      <c r="F20" s="14" t="s">
        <v>542</v>
      </c>
      <c r="G20" s="12">
        <f>IF(Variable_indicador!S244&lt;=-30,7,IF(AND(Variable_indicador!S244&gt;-30,Variable_indicador!S244&lt;0),4,IF(AND(Variable_indicador!S244&gt;=0,Variable_indicador!S244&lt;30),2,IF(Variable_indicador!S244&gt;=30,1))))+IF(Variable_indicador!S245&lt;=-30,7,IF(AND(Variable_indicador!S245&gt;-30,Variable_indicador!S245&lt;0),4,IF(AND(Variable_indicador!S245&gt;=0,Variable_indicador!S245&lt;30),2,IF(Variable_indicador!S245&gt;=30,1))))+ IF(Variable_indicador!S246&lt;=-30,7,IF(AND(Variable_indicador!S246&gt;-30,Variable_indicador!S246&lt;0),4,IF(AND(Variable_indicador!S246&gt;=0,Variable_indicador!S246&lt;30),2,IF(Variable_indicador!S246&gt;=30,1))))</f>
        <v>4</v>
      </c>
    </row>
    <row r="21" spans="1:7" ht="28.8" x14ac:dyDescent="0.3">
      <c r="A21">
        <v>19</v>
      </c>
      <c r="B21" s="15" t="s">
        <v>157</v>
      </c>
      <c r="D21" s="18">
        <f>((Variable_indicador!S247+Variable_indicador!S249+Variable_indicador!S251)/(Variable_indicador!S248+Variable_indicador!S250+Variable_indicador!S252))*100</f>
        <v>64.285714285714292</v>
      </c>
      <c r="E21" s="7" t="s">
        <v>47</v>
      </c>
      <c r="F21" s="79" t="s">
        <v>546</v>
      </c>
      <c r="G21" s="19">
        <f>IF(D21&gt;75,19,IF(D21&gt;50,12,IF(D21&gt;25,7,IF(D21&gt;=0,3,""))))</f>
        <v>12</v>
      </c>
    </row>
    <row r="22" spans="1:7" ht="43.2" x14ac:dyDescent="0.3">
      <c r="A22">
        <v>20</v>
      </c>
      <c r="B22" s="15" t="s">
        <v>556</v>
      </c>
      <c r="D22">
        <f>((Variable_indicador!S253+Variable_indicador!S254+Variable_indicador!S255)/(Variable_indicador!S256+Variable_indicador!S257+Variable_indicador!S258))*100</f>
        <v>0</v>
      </c>
      <c r="F22" s="14" t="s">
        <v>555</v>
      </c>
      <c r="G22">
        <f>IF(D22&lt;=25,17,IF(D22&lt;=50,13,IF(D22&lt;=75,8,3)))</f>
        <v>17</v>
      </c>
    </row>
    <row r="23" spans="1:7" ht="28.8" x14ac:dyDescent="0.3">
      <c r="A23">
        <v>21</v>
      </c>
      <c r="B23" s="15" t="s">
        <v>732</v>
      </c>
      <c r="D23" s="81">
        <f>Variable_indicador!S421</f>
        <v>-1.0436079016026745</v>
      </c>
      <c r="E23" s="7"/>
      <c r="F23" s="14" t="s">
        <v>731</v>
      </c>
      <c r="G23">
        <f>IF(D23&gt;10,7,IF(D23&gt;0,12,IF(D23&gt;=-5,17,22)))</f>
        <v>17</v>
      </c>
    </row>
    <row r="24" spans="1:7" ht="43.2" x14ac:dyDescent="0.3">
      <c r="A24">
        <v>22</v>
      </c>
      <c r="B24" s="15" t="s">
        <v>822</v>
      </c>
      <c r="D24" s="7">
        <f>((Variable_indicador!S491-Variable_indicador!S490)/Variable_indicador!S491)*100</f>
        <v>-96.196899958972139</v>
      </c>
      <c r="E24" s="7"/>
      <c r="F24" s="14" t="s">
        <v>795</v>
      </c>
      <c r="G24" s="11">
        <f>IF(D24&lt;0,6,IF(D24&lt;=20%,11,IF(D24&lt;=30%,16,21)))</f>
        <v>6</v>
      </c>
    </row>
    <row r="25" spans="1:7" x14ac:dyDescent="0.3">
      <c r="A25" s="121">
        <v>23</v>
      </c>
      <c r="B25" s="121"/>
      <c r="C25" s="121"/>
      <c r="D25" s="122"/>
      <c r="E25" s="123"/>
      <c r="F25" s="124"/>
      <c r="G25" s="125"/>
    </row>
    <row r="26" spans="1:7" ht="28.8" x14ac:dyDescent="0.3">
      <c r="A26">
        <v>24</v>
      </c>
      <c r="B26" s="15" t="s">
        <v>823</v>
      </c>
      <c r="D26" s="12">
        <f>Variable_indicador!S543/Variable_indicador!S544</f>
        <v>2.7293082133838387</v>
      </c>
      <c r="E26" s="7"/>
      <c r="F26" s="14" t="s">
        <v>824</v>
      </c>
      <c r="G26" s="11">
        <f>IF(D26&lt;=1,24,IF(D26&lt;=2.5,18,IF(D26&gt;4,6,12)))</f>
        <v>12</v>
      </c>
    </row>
    <row r="27" spans="1:7" ht="28.8" x14ac:dyDescent="0.3">
      <c r="A27">
        <v>25</v>
      </c>
      <c r="B27" s="15" t="s">
        <v>875</v>
      </c>
      <c r="D27" s="12">
        <f>((Variable_indicador!S592+(3*Variable_indicador!S593))/Variable_indicador!S591)</f>
        <v>4.1803278688524594</v>
      </c>
      <c r="F27" s="14" t="s">
        <v>876</v>
      </c>
      <c r="G27" s="11">
        <f t="shared" ref="G27:G28" si="1">IF(D27&lt;=1,24,IF(D27&lt;=2.5,18,IF(D27&gt;4,6,12)))</f>
        <v>6</v>
      </c>
    </row>
    <row r="28" spans="1:7" ht="28.8" x14ac:dyDescent="0.3">
      <c r="A28">
        <v>26</v>
      </c>
      <c r="B28" s="15" t="s">
        <v>889</v>
      </c>
      <c r="D28" s="30">
        <f>((Variable_indicador!S602+(3*Variable_indicador!S603))/Variable_indicador!S604)</f>
        <v>1.3301886792452831</v>
      </c>
      <c r="F28" s="15" t="s">
        <v>890</v>
      </c>
      <c r="G28" s="11">
        <f t="shared" si="1"/>
        <v>18</v>
      </c>
    </row>
    <row r="29" spans="1:7" ht="43.2" x14ac:dyDescent="0.3">
      <c r="A29">
        <v>27</v>
      </c>
      <c r="B29" s="15" t="s">
        <v>169</v>
      </c>
      <c r="D29" s="7">
        <f>((Variable_indicador!S637-Variable_indicador!S638)/Variable_indicador!S637)</f>
        <v>-1.2113578074583521E-3</v>
      </c>
      <c r="F29" s="14" t="s">
        <v>926</v>
      </c>
      <c r="G29">
        <f>IF(D29&gt;3.27,14,IF(D29&gt;1.92,10,IF(D29&gt;=0,6,2)))</f>
        <v>2</v>
      </c>
    </row>
    <row r="30" spans="1:7" ht="43.2" x14ac:dyDescent="0.3">
      <c r="A30">
        <v>28</v>
      </c>
      <c r="B30" s="15" t="s">
        <v>170</v>
      </c>
      <c r="D30" s="7">
        <f>((Variable_indicador!S655-Variable_indicador!S656)/Variable_indicador!S655)</f>
        <v>0.15702089713508027</v>
      </c>
      <c r="F30" s="14" t="s">
        <v>972</v>
      </c>
      <c r="G30">
        <f>IF(D30&gt;3.27,14,IF(D30&gt;1.92,10,IF(D30&gt;=0,6,2)))</f>
        <v>6</v>
      </c>
    </row>
    <row r="31" spans="1:7" ht="43.2" x14ac:dyDescent="0.3">
      <c r="A31">
        <v>29</v>
      </c>
      <c r="B31" s="15" t="s">
        <v>973</v>
      </c>
      <c r="D31" s="7">
        <f>((Variable_indicador!S680-Variable_indicador!S679)/Variable_indicador!S680)*100</f>
        <v>9.2625350114814964</v>
      </c>
      <c r="F31" s="15" t="s">
        <v>971</v>
      </c>
      <c r="G31">
        <f>IF(D31&gt;15.47,17,IF(D31&gt;0,10,5))</f>
        <v>10</v>
      </c>
    </row>
    <row r="32" spans="1:7" x14ac:dyDescent="0.3">
      <c r="A32">
        <v>30</v>
      </c>
      <c r="B32" s="15" t="s">
        <v>172</v>
      </c>
      <c r="D32" s="17">
        <f>((Variable_indicador!S691/Variable_indicador!S692)-(Variable_indicador!S685/Variable_indicador!S686))/(Variable_indicador!S691/Variable_indicador!S692)*100</f>
        <v>36.444799521355506</v>
      </c>
      <c r="E32" s="7" t="s">
        <v>47</v>
      </c>
      <c r="G32" s="16">
        <f>IF(D32&gt;=50,17,IF(D32&gt;=35,11,IF(D32&gt;=15,6,1)))</f>
        <v>11</v>
      </c>
    </row>
    <row r="33" spans="1:7" ht="43.2" x14ac:dyDescent="0.3">
      <c r="A33" s="62">
        <v>31</v>
      </c>
      <c r="B33" s="63" t="s">
        <v>173</v>
      </c>
      <c r="C33" s="62"/>
      <c r="D33" s="141">
        <f>Variable_indicador!S694-Variable_indicador!S693</f>
        <v>7302438.8299999991</v>
      </c>
      <c r="E33" s="62"/>
      <c r="F33" s="63" t="s">
        <v>977</v>
      </c>
      <c r="G33" s="62">
        <f>IF(D33&gt;=8000000,17,IF(D33&gt;4000000,10, 0))</f>
        <v>10</v>
      </c>
    </row>
    <row r="34" spans="1:7" ht="57.6" x14ac:dyDescent="0.3">
      <c r="A34">
        <v>32</v>
      </c>
      <c r="B34" s="15" t="s">
        <v>174</v>
      </c>
      <c r="D34">
        <f>((Variable_indicador!S700-Variable_indicador!S699)/Variable_indicador!S700)*100</f>
        <v>8.3333333333333321</v>
      </c>
      <c r="F34" s="15" t="s">
        <v>985</v>
      </c>
      <c r="G34">
        <f>IF(D34&gt;20,17,IF(D34&gt;=1,13,IF(D34=0,9,IF(D34&gt;=-20,5,1))))</f>
        <v>13</v>
      </c>
    </row>
    <row r="35" spans="1:7" ht="28.8" x14ac:dyDescent="0.3">
      <c r="A35">
        <v>33</v>
      </c>
      <c r="B35" t="s">
        <v>176</v>
      </c>
      <c r="D35">
        <f>(Variable_indicador!S701/Variable_indicador!S702)*100</f>
        <v>117.03662591364892</v>
      </c>
      <c r="F35" s="15" t="s">
        <v>989</v>
      </c>
      <c r="G35">
        <f>IF(D35&gt;100,21,8)</f>
        <v>21</v>
      </c>
    </row>
    <row r="36" spans="1:7" ht="43.2" x14ac:dyDescent="0.3">
      <c r="A36">
        <v>34</v>
      </c>
      <c r="B36" s="15" t="s">
        <v>177</v>
      </c>
      <c r="D36">
        <f>(Variable_indicador!S703/Variable_indicador!S704)*100</f>
        <v>98.519793895563382</v>
      </c>
      <c r="F36" s="15" t="s">
        <v>992</v>
      </c>
      <c r="G36">
        <f>IF(D36&gt;=96,19,IF(D36&gt;=91,16,IF(D36&gt;=86,10,5)))</f>
        <v>19</v>
      </c>
    </row>
    <row r="37" spans="1:7" ht="57.6" x14ac:dyDescent="0.3">
      <c r="A37">
        <v>35</v>
      </c>
      <c r="B37" s="15" t="s">
        <v>178</v>
      </c>
      <c r="D37">
        <f>((Variable_indicador!S705-Variable_indicador!S706)/Variable_indicador!S706)*100</f>
        <v>186.09271523178808</v>
      </c>
      <c r="F37" s="15" t="s">
        <v>997</v>
      </c>
      <c r="G37">
        <f>IF(D37&gt;150,14,IF(D37&gt;=100,12,IF(D37&gt;=70,7,5)))</f>
        <v>14</v>
      </c>
    </row>
    <row r="38" spans="1:7" ht="43.2" x14ac:dyDescent="0.3">
      <c r="A38">
        <v>36</v>
      </c>
      <c r="B38" s="15" t="s">
        <v>179</v>
      </c>
      <c r="D38">
        <f>(Variable_indicador!S707/Variable_indicador!S708)*100</f>
        <v>6.2583221438961623</v>
      </c>
      <c r="F38" s="15" t="s">
        <v>1001</v>
      </c>
      <c r="G38">
        <f>IF(D38&lt;=8.33,17,IF(D38&lt;=13.81,12,IF(D38&lt;=19.29,8,4)))</f>
        <v>17</v>
      </c>
    </row>
    <row r="39" spans="1:7" ht="57.6" x14ac:dyDescent="0.3">
      <c r="A39">
        <v>37</v>
      </c>
      <c r="B39" s="15" t="s">
        <v>180</v>
      </c>
      <c r="D39">
        <f>((Variable_indicador!S709/Variable_indicador!S710)*100)</f>
        <v>52.521350284511733</v>
      </c>
      <c r="F39" s="15" t="s">
        <v>1005</v>
      </c>
      <c r="G39">
        <f>IF(D39&lt;=25,11,IF(D39&lt;=44,7,IF(D39&lt;=63,3.5,1)))</f>
        <v>3.5</v>
      </c>
    </row>
    <row r="40" spans="1:7" ht="28.8" x14ac:dyDescent="0.3">
      <c r="A40">
        <v>38</v>
      </c>
      <c r="B40" s="15" t="s">
        <v>182</v>
      </c>
      <c r="D40">
        <f>((Variable_indicador!S716-Variable_indicador!S713)/Variable_indicador!S716)*100</f>
        <v>6.3941406361600786</v>
      </c>
      <c r="F40" s="15" t="s">
        <v>1013</v>
      </c>
      <c r="G40">
        <f>IF(D40&gt;20,14,IF(D40&gt;=11,12,IF(D40&gt;=1,10,IF(D40=0,8,IF(D40&gt;=-10,6,IF(D40&gt;=-20,4,2))))))</f>
        <v>10</v>
      </c>
    </row>
    <row r="41" spans="1:7" ht="43.2" x14ac:dyDescent="0.3">
      <c r="A41">
        <v>39</v>
      </c>
      <c r="B41" s="15" t="s">
        <v>183</v>
      </c>
      <c r="D41">
        <f>((Variable_indicador!S717/Variable_indicador!S719)*(Variable_indicador!S718/Variable_indicador!S720))*100</f>
        <v>2.8199654084096006</v>
      </c>
      <c r="F41" s="15" t="s">
        <v>1019</v>
      </c>
      <c r="G41">
        <f>IF(D41&gt;=15,24,IF(D41&gt;=10,18,IF(D41&gt;=5,12,6)))</f>
        <v>6</v>
      </c>
    </row>
    <row r="42" spans="1:7" ht="57.6" x14ac:dyDescent="0.3">
      <c r="A42">
        <v>40</v>
      </c>
      <c r="B42" s="15" t="s">
        <v>184</v>
      </c>
      <c r="D42">
        <f>(Variable_indicador!S721/Variable_indicador!S722)*100</f>
        <v>62.891867142620704</v>
      </c>
      <c r="E42" s="8"/>
      <c r="F42" s="15" t="s">
        <v>1023</v>
      </c>
      <c r="G42">
        <f>IF(D42&gt;60,7,IF(D42&gt;=40,14,21))</f>
        <v>7</v>
      </c>
    </row>
    <row r="43" spans="1:7" ht="43.2" x14ac:dyDescent="0.3">
      <c r="A43">
        <v>41</v>
      </c>
      <c r="B43" t="s">
        <v>186</v>
      </c>
      <c r="D43">
        <f>((Variable_indicador!S728-Variable_indicador!S725)/Variable_indicador!S725)*100</f>
        <v>-5.1747093379535789</v>
      </c>
      <c r="E43" s="8"/>
      <c r="F43" s="15" t="s">
        <v>1031</v>
      </c>
      <c r="G43">
        <f>IF(D43&gt;0,21,IF(D43=0,14,7))</f>
        <v>7</v>
      </c>
    </row>
    <row r="44" spans="1:7" ht="43.2" x14ac:dyDescent="0.3">
      <c r="A44">
        <v>42</v>
      </c>
      <c r="B44" t="s">
        <v>188</v>
      </c>
      <c r="D44">
        <f>Variable_indicador!S734/Variable_indicador!S731</f>
        <v>6.8212153832885143</v>
      </c>
      <c r="E44" s="8"/>
      <c r="F44" s="15" t="s">
        <v>1039</v>
      </c>
      <c r="G44">
        <f>IF(D44&gt;50,21,IF(D44&gt;=30,16,IF(D44&gt;=15,11,6)))</f>
        <v>6</v>
      </c>
    </row>
    <row r="45" spans="1:7" ht="43.2" x14ac:dyDescent="0.3">
      <c r="A45">
        <v>43</v>
      </c>
      <c r="B45" s="15" t="s">
        <v>189</v>
      </c>
      <c r="D45">
        <f>(Variable_indicador!S737/(Variable_indicador!S740+Variable_indicador!S741))*100</f>
        <v>12.762134706125511</v>
      </c>
      <c r="E45" s="8"/>
      <c r="F45" s="15" t="s">
        <v>1050</v>
      </c>
      <c r="G45">
        <f>IF(D45&lt;2,21,IF(D45&lt;=5,16,IF(D45&lt;=10,11,6)))</f>
        <v>6</v>
      </c>
    </row>
    <row r="46" spans="1:7" ht="57.6" x14ac:dyDescent="0.3">
      <c r="A46">
        <v>44</v>
      </c>
      <c r="B46" s="15" t="s">
        <v>192</v>
      </c>
      <c r="D46">
        <f>G46</f>
        <v>7</v>
      </c>
      <c r="E46" s="8"/>
      <c r="F46" s="15" t="s">
        <v>1132</v>
      </c>
      <c r="G46">
        <f>IF(Variable_indicador!S821="Alta",1,IF(Variable_indicador!S821="Moderada",4,IF(Variable_indicador!S821="Baja",7,IF(Variable_indicador!S821="Nula",10,""))))+IF(Variable_indicador!S822="Alta",1,IF(Variable_indicador!S822="Moderada",3,IF(Variable_indicador!S822="Baja",6,IF(Variable_indicador!S822="Nula",8,""))))+IF(Variable_indicador!S823="Alta",1,IF(Variable_indicador!S823="Moderada",2,IF(Variable_indicador!S823="Baja",4,IF(Variable_indicador!S823="Nula",6,""))))</f>
        <v>7</v>
      </c>
    </row>
    <row r="47" spans="1:7" ht="57.6" x14ac:dyDescent="0.3">
      <c r="A47">
        <v>45</v>
      </c>
      <c r="B47" s="15" t="s">
        <v>193</v>
      </c>
      <c r="D47">
        <f>G47</f>
        <v>7</v>
      </c>
      <c r="E47" s="8"/>
      <c r="F47" s="15" t="s">
        <v>1192</v>
      </c>
      <c r="G47">
        <f>IF(Variable_indicador!S846="Alta",1,IF(Variable_indicador!S846="Moderada",4,IF(Variable_indicador!S846="Baja",7,IF(Variable_indicador!S846="Nula",10,""))))+IF(Variable_indicador!S847="Alta",1,IF(Variable_indicador!S847="Moderada",3,IF(Variable_indicador!S847="Baja",6,IF(Variable_indicador!S847="Nula",8,""))))+IF(Variable_indicador!S848="Alta",1,IF(Variable_indicador!S848="Moderada",2,IF(Variable_indicador!S848="Baja",4,IF(Variable_indicador!S848="Nula",6,""))))</f>
        <v>7</v>
      </c>
    </row>
    <row r="48" spans="1:7" ht="72" x14ac:dyDescent="0.3">
      <c r="A48">
        <v>46</v>
      </c>
      <c r="B48" s="15" t="s">
        <v>195</v>
      </c>
      <c r="D48">
        <f>(Variable_indicador!S876+Variable_indicador!S877+Variable_indicador!S878+Variable_indicador!S879)/4</f>
        <v>21.486380036126114</v>
      </c>
      <c r="E48" s="8"/>
      <c r="F48" s="15" t="s">
        <v>1191</v>
      </c>
      <c r="G48">
        <f>IF(D48&lt;30,5,IF(D48&lt;70,2,21))</f>
        <v>5</v>
      </c>
    </row>
    <row r="49" spans="1:7" x14ac:dyDescent="0.3">
      <c r="A49">
        <v>47</v>
      </c>
      <c r="B49" s="15" t="s">
        <v>197</v>
      </c>
      <c r="D49">
        <f>G49</f>
        <v>5</v>
      </c>
      <c r="E49" s="8"/>
      <c r="F49" t="s">
        <v>1203</v>
      </c>
      <c r="G49">
        <f>IF(Variable_indicador!S886&gt;=0,5,2)+IF(Variable_indicador!S887&gt;=0,4,1)+IF(Variable_indicador!S888&gt;=0,2,5)</f>
        <v>5</v>
      </c>
    </row>
    <row r="50" spans="1:7" x14ac:dyDescent="0.3">
      <c r="A50">
        <v>48</v>
      </c>
      <c r="B50" s="15" t="s">
        <v>199</v>
      </c>
      <c r="D50">
        <f>((Variable_indicador!S891-Variable_indicador!S894)/Variable_indicador!S891)*100</f>
        <v>13.94212180511574</v>
      </c>
      <c r="E50" s="8"/>
      <c r="F50" t="s">
        <v>1211</v>
      </c>
      <c r="G50">
        <f>IF(D50&gt;0,24,IF(D50&lt;0,2,""))</f>
        <v>24</v>
      </c>
    </row>
    <row r="51" spans="1:7" x14ac:dyDescent="0.3">
      <c r="A51">
        <v>49</v>
      </c>
      <c r="B51" t="s">
        <v>200</v>
      </c>
      <c r="D51">
        <f>((Variable_indicador!S896-Variable_indicador!S895)/Variable_indicador!S896)*100</f>
        <v>3.5991965978889122</v>
      </c>
      <c r="E51" s="8"/>
      <c r="F51" t="s">
        <v>1211</v>
      </c>
      <c r="G51">
        <f>IF(D51&gt;3,22,IF(D51&gt;=1,18,IF(D51&gt;=0,12,2)))</f>
        <v>22</v>
      </c>
    </row>
    <row r="52" spans="1:7" x14ac:dyDescent="0.3">
      <c r="A52">
        <v>50</v>
      </c>
      <c r="B52" t="s">
        <v>201</v>
      </c>
      <c r="D52" s="150">
        <f>Variable_indicador!S900-Variable_indicador!S899</f>
        <v>0.40307073095131329</v>
      </c>
      <c r="E52" s="8"/>
      <c r="F52" t="s">
        <v>1218</v>
      </c>
      <c r="G52">
        <f>IF(D52&gt;0,24,IF(D52&lt;0,2,""))</f>
        <v>24</v>
      </c>
    </row>
    <row r="53" spans="1:7" x14ac:dyDescent="0.3">
      <c r="A53">
        <v>51</v>
      </c>
      <c r="B53" t="s">
        <v>203</v>
      </c>
      <c r="D53">
        <f>(Variable_indicador!S901/Variable_indicador!S902)*100</f>
        <v>54.54545454545454</v>
      </c>
      <c r="E53" s="8"/>
      <c r="F53" t="s">
        <v>1218</v>
      </c>
      <c r="G53">
        <f>IF(D53&gt;80,21,IF(D53&gt;=40,14,7))</f>
        <v>14</v>
      </c>
    </row>
    <row r="54" spans="1:7" x14ac:dyDescent="0.3">
      <c r="E54" s="8"/>
    </row>
    <row r="56" spans="1:7" x14ac:dyDescent="0.3">
      <c r="D56" s="10"/>
      <c r="E56" s="6"/>
      <c r="G56" s="14"/>
    </row>
    <row r="57" spans="1:7" x14ac:dyDescent="0.3">
      <c r="D57" s="10"/>
      <c r="E57" s="6"/>
      <c r="G57" s="14"/>
    </row>
    <row r="58" spans="1:7" x14ac:dyDescent="0.3">
      <c r="D58" s="10"/>
      <c r="E58" s="6"/>
      <c r="G58" s="14"/>
    </row>
    <row r="59" spans="1:7" x14ac:dyDescent="0.3">
      <c r="D59" s="10"/>
      <c r="E59" s="6"/>
      <c r="G59" s="14"/>
    </row>
    <row r="60" spans="1:7" x14ac:dyDescent="0.3">
      <c r="D60" s="10"/>
      <c r="E60" s="6"/>
      <c r="G60" s="14"/>
    </row>
    <row r="61" spans="1:7" x14ac:dyDescent="0.3">
      <c r="E61" s="160"/>
    </row>
    <row r="62" spans="1:7" x14ac:dyDescent="0.3">
      <c r="D62" s="13"/>
      <c r="E62" s="160"/>
      <c r="G62" s="11"/>
    </row>
    <row r="63" spans="1:7" x14ac:dyDescent="0.3">
      <c r="D63" s="13"/>
      <c r="E63" s="160"/>
      <c r="G63" s="11"/>
    </row>
    <row r="64" spans="1:7" x14ac:dyDescent="0.3">
      <c r="D64" s="13"/>
      <c r="E64" s="160"/>
      <c r="G64" s="11"/>
    </row>
    <row r="65" spans="4:7" x14ac:dyDescent="0.3">
      <c r="D65" s="13"/>
      <c r="E65" s="160"/>
      <c r="F65" s="1"/>
      <c r="G65" s="11"/>
    </row>
    <row r="66" spans="4:7" x14ac:dyDescent="0.3">
      <c r="D66" s="13"/>
      <c r="E66" s="160"/>
      <c r="F66" s="1"/>
      <c r="G66" s="11"/>
    </row>
    <row r="67" spans="4:7" x14ac:dyDescent="0.3">
      <c r="D67" s="13"/>
      <c r="E67" s="160"/>
      <c r="F67" s="1"/>
      <c r="G67" s="11"/>
    </row>
    <row r="68" spans="4:7" x14ac:dyDescent="0.3">
      <c r="D68" s="13"/>
      <c r="E68" s="160"/>
      <c r="F68" s="1"/>
      <c r="G68" s="11"/>
    </row>
    <row r="69" spans="4:7" x14ac:dyDescent="0.3">
      <c r="D69" s="13"/>
      <c r="E69" s="160"/>
      <c r="F69" s="1"/>
      <c r="G69" s="11"/>
    </row>
    <row r="70" spans="4:7" x14ac:dyDescent="0.3">
      <c r="D70" s="13"/>
      <c r="E70" s="160"/>
      <c r="F70" s="1"/>
      <c r="G70" s="11"/>
    </row>
    <row r="71" spans="4:7" x14ac:dyDescent="0.3">
      <c r="D71" s="13"/>
      <c r="E71" s="160"/>
      <c r="F71" s="1"/>
      <c r="G71" s="11"/>
    </row>
    <row r="72" spans="4:7" x14ac:dyDescent="0.3">
      <c r="D72" s="13"/>
      <c r="E72" s="160"/>
      <c r="F72" s="1"/>
      <c r="G72" s="11"/>
    </row>
    <row r="73" spans="4:7" x14ac:dyDescent="0.3">
      <c r="D73" s="7"/>
      <c r="E73" s="7"/>
      <c r="F73" s="7"/>
      <c r="G73" s="6"/>
    </row>
    <row r="74" spans="4:7" x14ac:dyDescent="0.3">
      <c r="D74" s="7"/>
      <c r="E74" s="7"/>
      <c r="F74" s="7"/>
      <c r="G74" s="7"/>
    </row>
  </sheetData>
  <mergeCells count="2">
    <mergeCell ref="E61:E72"/>
    <mergeCell ref="D1:G1"/>
  </mergeCells>
  <phoneticPr fontId="14" type="noConversion"/>
  <dataValidations count="1">
    <dataValidation type="list" allowBlank="1" showInputMessage="1" showErrorMessage="1" sqref="E32 E18:E21 F11 E23:E26 E3:E15 E42:E54" xr:uid="{936D258D-5582-4480-B5F8-E49E1DE84492}">
      <formula1>"Entero (Integer int), Flotante (Float  Double), Booleano (Boolean bool), Carácter (Characterchar), Cadena de texto (String str)."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480B6-BAA9-4406-B038-FB3808145D9A}">
  <dimension ref="A1:W54"/>
  <sheetViews>
    <sheetView topLeftCell="M1" zoomScale="70" zoomScaleNormal="130" workbookViewId="0">
      <selection activeCell="F16" sqref="F16"/>
    </sheetView>
  </sheetViews>
  <sheetFormatPr baseColWidth="10" defaultRowHeight="14.4" x14ac:dyDescent="0.3"/>
  <cols>
    <col min="2" max="2" width="12.21875" customWidth="1"/>
    <col min="4" max="4" width="31.77734375" customWidth="1"/>
    <col min="5" max="5" width="30.109375" customWidth="1"/>
    <col min="6" max="6" width="56.6640625" bestFit="1" customWidth="1"/>
    <col min="7" max="10" width="81.5546875" customWidth="1"/>
    <col min="11" max="11" width="78.88671875" customWidth="1"/>
    <col min="12" max="12" width="81.5546875" customWidth="1"/>
    <col min="13" max="14" width="11.21875" customWidth="1"/>
    <col min="15" max="15" width="11.21875" style="29" customWidth="1"/>
    <col min="16" max="18" width="11.21875" customWidth="1"/>
    <col min="19" max="19" width="29.44140625" customWidth="1"/>
    <col min="20" max="20" width="34.6640625" customWidth="1"/>
    <col min="22" max="22" width="18.44140625" customWidth="1"/>
    <col min="23" max="23" width="20.88671875" customWidth="1"/>
  </cols>
  <sheetData>
    <row r="1" spans="1:23" s="28" customFormat="1" ht="72" x14ac:dyDescent="0.3">
      <c r="A1" s="28" t="s">
        <v>109</v>
      </c>
      <c r="B1" s="28" t="s">
        <v>3</v>
      </c>
      <c r="C1" s="28" t="s">
        <v>110</v>
      </c>
      <c r="D1" s="28" t="s">
        <v>44</v>
      </c>
      <c r="E1" s="28" t="s">
        <v>111</v>
      </c>
      <c r="F1" s="28" t="s">
        <v>209</v>
      </c>
      <c r="G1" s="120" t="s">
        <v>204</v>
      </c>
      <c r="H1" s="120" t="s">
        <v>205</v>
      </c>
      <c r="I1" s="120" t="s">
        <v>207</v>
      </c>
      <c r="J1" s="120" t="s">
        <v>210</v>
      </c>
      <c r="K1" s="120" t="s">
        <v>211</v>
      </c>
      <c r="L1" s="120" t="s">
        <v>212</v>
      </c>
      <c r="M1" s="28" t="s">
        <v>112</v>
      </c>
      <c r="N1" s="28" t="s">
        <v>113</v>
      </c>
      <c r="O1" s="28" t="s">
        <v>114</v>
      </c>
      <c r="P1" s="28" t="s">
        <v>115</v>
      </c>
      <c r="Q1" s="28" t="s">
        <v>116</v>
      </c>
      <c r="R1" s="28" t="s">
        <v>117</v>
      </c>
      <c r="S1" s="120" t="s">
        <v>213</v>
      </c>
      <c r="T1" s="120" t="s">
        <v>214</v>
      </c>
      <c r="U1" s="28" t="s">
        <v>118</v>
      </c>
      <c r="V1" s="28" t="s">
        <v>119</v>
      </c>
      <c r="W1" s="28" t="s">
        <v>821</v>
      </c>
    </row>
    <row r="2" spans="1:23" ht="57.6" x14ac:dyDescent="0.3">
      <c r="A2" s="22">
        <v>1</v>
      </c>
      <c r="B2" s="23" t="s">
        <v>120</v>
      </c>
      <c r="C2" s="24" t="s">
        <v>121</v>
      </c>
      <c r="D2" s="23" t="s">
        <v>122</v>
      </c>
      <c r="E2" s="23" t="s">
        <v>123</v>
      </c>
      <c r="F2" s="20" t="s">
        <v>208</v>
      </c>
      <c r="G2" s="23" t="s">
        <v>215</v>
      </c>
      <c r="H2" s="23" t="s">
        <v>215</v>
      </c>
      <c r="I2" s="23" t="s">
        <v>215</v>
      </c>
      <c r="J2" s="23" t="s">
        <v>55</v>
      </c>
      <c r="K2" s="23" t="s">
        <v>215</v>
      </c>
      <c r="L2" s="23" t="s">
        <v>215</v>
      </c>
      <c r="M2" s="25">
        <f>IF(G2="SI", 5, 1)</f>
        <v>5</v>
      </c>
      <c r="N2" s="25">
        <f t="shared" ref="N2:R2" si="0">IF(H2="SI", 5, 1)</f>
        <v>5</v>
      </c>
      <c r="O2" s="25">
        <f t="shared" si="0"/>
        <v>5</v>
      </c>
      <c r="P2" s="25">
        <f t="shared" si="0"/>
        <v>1</v>
      </c>
      <c r="Q2" s="25">
        <f t="shared" si="0"/>
        <v>5</v>
      </c>
      <c r="R2" s="25">
        <f t="shared" si="0"/>
        <v>5</v>
      </c>
      <c r="S2" s="26">
        <v>4.333333333333333</v>
      </c>
      <c r="T2" s="26">
        <v>4.5142857142857142</v>
      </c>
      <c r="U2" s="26">
        <f>SUM(M2:T2)</f>
        <v>34.847619047619048</v>
      </c>
      <c r="V2">
        <f>(Tabla1[[#This Row],[Total]]/$U$53)*1000</f>
        <v>21.467757198887774</v>
      </c>
      <c r="W2" s="26">
        <f>ROUND(Tabla1[[#This Row],[Normalización]],0)</f>
        <v>21</v>
      </c>
    </row>
    <row r="3" spans="1:23" ht="43.2" x14ac:dyDescent="0.3">
      <c r="A3" s="22">
        <v>2</v>
      </c>
      <c r="B3" s="23" t="s">
        <v>120</v>
      </c>
      <c r="C3" s="24" t="s">
        <v>121</v>
      </c>
      <c r="D3" s="23" t="s">
        <v>122</v>
      </c>
      <c r="E3" s="23" t="s">
        <v>124</v>
      </c>
      <c r="F3" s="20" t="s">
        <v>220</v>
      </c>
      <c r="G3" s="23" t="s">
        <v>215</v>
      </c>
      <c r="H3" s="23" t="s">
        <v>55</v>
      </c>
      <c r="I3" s="23" t="s">
        <v>55</v>
      </c>
      <c r="J3" s="23" t="s">
        <v>55</v>
      </c>
      <c r="K3" s="23" t="s">
        <v>215</v>
      </c>
      <c r="L3" s="23" t="s">
        <v>55</v>
      </c>
      <c r="M3" s="25">
        <f t="shared" ref="M3:M52" si="1">IF(G3="SI", 5, 1)</f>
        <v>5</v>
      </c>
      <c r="N3" s="25">
        <f t="shared" ref="N3:N52" si="2">IF(H3="SI", 5, 1)</f>
        <v>1</v>
      </c>
      <c r="O3" s="25">
        <f t="shared" ref="O3:O52" si="3">IF(I3="SI", 5, 1)</f>
        <v>1</v>
      </c>
      <c r="P3" s="25">
        <f t="shared" ref="P3:P52" si="4">IF(J3="SI", 5, 1)</f>
        <v>1</v>
      </c>
      <c r="Q3" s="25">
        <f t="shared" ref="Q3:Q52" si="5">IF(K3="SI", 5, 1)</f>
        <v>5</v>
      </c>
      <c r="R3" s="25">
        <f t="shared" ref="R3:R52" si="6">IF(L3="SI", 5, 1)</f>
        <v>1</v>
      </c>
      <c r="S3" s="26">
        <v>4.333333333333333</v>
      </c>
      <c r="T3" s="26">
        <v>4.3529411764705879</v>
      </c>
      <c r="U3" s="26">
        <f t="shared" ref="U3:U52" si="7">SUM(M3:T3)</f>
        <v>22.686274509803919</v>
      </c>
      <c r="V3">
        <f>(Tabla1[[#This Row],[Total]]/$U$53)*1000</f>
        <v>13.975802256626856</v>
      </c>
      <c r="W3" s="26">
        <f>ROUND(Tabla1[[#This Row],[Normalización]],0)</f>
        <v>14</v>
      </c>
    </row>
    <row r="4" spans="1:23" ht="43.2" x14ac:dyDescent="0.3">
      <c r="A4" s="22">
        <v>3</v>
      </c>
      <c r="B4" s="23" t="s">
        <v>120</v>
      </c>
      <c r="C4" s="24" t="s">
        <v>125</v>
      </c>
      <c r="D4" s="23" t="s">
        <v>126</v>
      </c>
      <c r="E4" s="23" t="s">
        <v>127</v>
      </c>
      <c r="F4" s="20" t="s">
        <v>221</v>
      </c>
      <c r="G4" s="23" t="s">
        <v>215</v>
      </c>
      <c r="H4" s="23" t="s">
        <v>215</v>
      </c>
      <c r="I4" s="23" t="s">
        <v>215</v>
      </c>
      <c r="J4" s="23" t="s">
        <v>215</v>
      </c>
      <c r="K4" s="23" t="s">
        <v>215</v>
      </c>
      <c r="L4" s="23" t="s">
        <v>55</v>
      </c>
      <c r="M4" s="25">
        <f t="shared" si="1"/>
        <v>5</v>
      </c>
      <c r="N4" s="25">
        <f t="shared" si="2"/>
        <v>5</v>
      </c>
      <c r="O4" s="25">
        <f t="shared" si="3"/>
        <v>5</v>
      </c>
      <c r="P4" s="25">
        <f t="shared" si="4"/>
        <v>5</v>
      </c>
      <c r="Q4" s="25">
        <f t="shared" si="5"/>
        <v>5</v>
      </c>
      <c r="R4" s="25">
        <f t="shared" si="6"/>
        <v>1</v>
      </c>
      <c r="S4" s="26">
        <v>4.333333333333333</v>
      </c>
      <c r="T4" s="26">
        <v>4.03125</v>
      </c>
      <c r="U4" s="26">
        <f t="shared" si="7"/>
        <v>34.364583333333329</v>
      </c>
      <c r="V4">
        <f>(Tabla1[[#This Row],[Total]]/$U$53)*1000</f>
        <v>21.170184689887744</v>
      </c>
      <c r="W4" s="26">
        <f>ROUND(Tabla1[[#This Row],[Normalización]],0)</f>
        <v>21</v>
      </c>
    </row>
    <row r="5" spans="1:23" ht="43.2" x14ac:dyDescent="0.3">
      <c r="A5" s="22">
        <v>4</v>
      </c>
      <c r="B5" s="23" t="s">
        <v>120</v>
      </c>
      <c r="C5" s="24" t="s">
        <v>125</v>
      </c>
      <c r="D5" s="23" t="s">
        <v>126</v>
      </c>
      <c r="E5" s="23" t="s">
        <v>128</v>
      </c>
      <c r="F5" s="20" t="s">
        <v>222</v>
      </c>
      <c r="G5" s="23" t="s">
        <v>55</v>
      </c>
      <c r="H5" s="23" t="s">
        <v>215</v>
      </c>
      <c r="I5" s="23" t="s">
        <v>215</v>
      </c>
      <c r="J5" s="23" t="s">
        <v>215</v>
      </c>
      <c r="K5" s="23" t="s">
        <v>215</v>
      </c>
      <c r="L5" s="23" t="s">
        <v>55</v>
      </c>
      <c r="M5" s="25">
        <f t="shared" si="1"/>
        <v>1</v>
      </c>
      <c r="N5" s="25">
        <f t="shared" si="2"/>
        <v>5</v>
      </c>
      <c r="O5" s="25">
        <f t="shared" si="3"/>
        <v>5</v>
      </c>
      <c r="P5" s="25">
        <f t="shared" si="4"/>
        <v>5</v>
      </c>
      <c r="Q5" s="25">
        <f t="shared" si="5"/>
        <v>5</v>
      </c>
      <c r="R5" s="25">
        <f t="shared" si="6"/>
        <v>1</v>
      </c>
      <c r="S5" s="26">
        <v>4.333333333333333</v>
      </c>
      <c r="T5" s="26">
        <v>4.1515151515151514</v>
      </c>
      <c r="U5" s="26">
        <f t="shared" si="7"/>
        <v>30.484848484848484</v>
      </c>
      <c r="V5">
        <f>(Tabla1[[#This Row],[Total]]/$U$53)*1000</f>
        <v>18.780087231306084</v>
      </c>
      <c r="W5" s="26">
        <f>ROUND(Tabla1[[#This Row],[Normalización]],0)</f>
        <v>19</v>
      </c>
    </row>
    <row r="6" spans="1:23" ht="43.2" x14ac:dyDescent="0.3">
      <c r="A6" s="22">
        <v>5</v>
      </c>
      <c r="B6" s="23" t="s">
        <v>120</v>
      </c>
      <c r="C6" s="24" t="s">
        <v>125</v>
      </c>
      <c r="D6" s="23" t="s">
        <v>126</v>
      </c>
      <c r="E6" s="23" t="s">
        <v>129</v>
      </c>
      <c r="F6" s="20" t="s">
        <v>223</v>
      </c>
      <c r="G6" s="23" t="s">
        <v>215</v>
      </c>
      <c r="H6" s="23" t="s">
        <v>215</v>
      </c>
      <c r="I6" s="23" t="s">
        <v>215</v>
      </c>
      <c r="J6" s="23" t="s">
        <v>215</v>
      </c>
      <c r="K6" s="23" t="s">
        <v>215</v>
      </c>
      <c r="L6" s="23" t="s">
        <v>55</v>
      </c>
      <c r="M6" s="25">
        <f t="shared" si="1"/>
        <v>5</v>
      </c>
      <c r="N6" s="25">
        <f t="shared" si="2"/>
        <v>5</v>
      </c>
      <c r="O6" s="25">
        <f t="shared" si="3"/>
        <v>5</v>
      </c>
      <c r="P6" s="25">
        <f t="shared" si="4"/>
        <v>5</v>
      </c>
      <c r="Q6" s="25">
        <f t="shared" si="5"/>
        <v>5</v>
      </c>
      <c r="R6" s="25">
        <f t="shared" si="6"/>
        <v>1</v>
      </c>
      <c r="S6" s="26">
        <v>4.333333333333333</v>
      </c>
      <c r="T6" s="26">
        <v>4.3636363636363633</v>
      </c>
      <c r="U6" s="26">
        <f t="shared" si="7"/>
        <v>34.696969696969695</v>
      </c>
      <c r="V6">
        <f>(Tabla1[[#This Row],[Total]]/$U$53)*1000</f>
        <v>21.374950178772828</v>
      </c>
      <c r="W6" s="26">
        <f>ROUND(Tabla1[[#This Row],[Normalización]],0)</f>
        <v>21</v>
      </c>
    </row>
    <row r="7" spans="1:23" ht="43.2" x14ac:dyDescent="0.3">
      <c r="A7" s="22">
        <v>6</v>
      </c>
      <c r="B7" s="23" t="s">
        <v>130</v>
      </c>
      <c r="C7" s="24" t="s">
        <v>131</v>
      </c>
      <c r="D7" s="23" t="s">
        <v>132</v>
      </c>
      <c r="E7" s="23" t="s">
        <v>133</v>
      </c>
      <c r="F7" s="20" t="s">
        <v>224</v>
      </c>
      <c r="G7" s="23" t="s">
        <v>215</v>
      </c>
      <c r="H7" s="23" t="s">
        <v>215</v>
      </c>
      <c r="I7" s="23" t="s">
        <v>215</v>
      </c>
      <c r="J7" s="23" t="s">
        <v>55</v>
      </c>
      <c r="K7" s="23" t="s">
        <v>215</v>
      </c>
      <c r="L7" s="23" t="s">
        <v>215</v>
      </c>
      <c r="M7" s="25">
        <f t="shared" si="1"/>
        <v>5</v>
      </c>
      <c r="N7" s="25">
        <f t="shared" si="2"/>
        <v>5</v>
      </c>
      <c r="O7" s="25">
        <f t="shared" si="3"/>
        <v>5</v>
      </c>
      <c r="P7" s="25">
        <f t="shared" si="4"/>
        <v>1</v>
      </c>
      <c r="Q7" s="25">
        <f t="shared" si="5"/>
        <v>5</v>
      </c>
      <c r="R7" s="25">
        <f t="shared" si="6"/>
        <v>5</v>
      </c>
      <c r="S7" s="26">
        <v>4.4333333333333336</v>
      </c>
      <c r="T7" s="26">
        <v>4.2941176470588234</v>
      </c>
      <c r="U7" s="26">
        <f t="shared" si="7"/>
        <v>34.727450980392156</v>
      </c>
      <c r="V7">
        <f>(Tabla1[[#This Row],[Total]]/$U$53)*1000</f>
        <v>21.393728069759575</v>
      </c>
      <c r="W7" s="26">
        <f>ROUND(Tabla1[[#This Row],[Normalización]],0)</f>
        <v>21</v>
      </c>
    </row>
    <row r="8" spans="1:23" ht="28.8" x14ac:dyDescent="0.3">
      <c r="A8" s="22">
        <v>7</v>
      </c>
      <c r="B8" s="23" t="s">
        <v>130</v>
      </c>
      <c r="C8" s="24" t="s">
        <v>131</v>
      </c>
      <c r="D8" s="23" t="s">
        <v>132</v>
      </c>
      <c r="E8" s="23" t="s">
        <v>134</v>
      </c>
      <c r="F8" s="20" t="s">
        <v>225</v>
      </c>
      <c r="G8" s="23" t="s">
        <v>215</v>
      </c>
      <c r="H8" s="23" t="s">
        <v>55</v>
      </c>
      <c r="I8" s="23" t="s">
        <v>215</v>
      </c>
      <c r="J8" s="23" t="s">
        <v>55</v>
      </c>
      <c r="K8" s="23" t="s">
        <v>215</v>
      </c>
      <c r="L8" s="23" t="s">
        <v>215</v>
      </c>
      <c r="M8" s="25">
        <f t="shared" si="1"/>
        <v>5</v>
      </c>
      <c r="N8" s="25">
        <f t="shared" si="2"/>
        <v>1</v>
      </c>
      <c r="O8" s="25">
        <f t="shared" si="3"/>
        <v>5</v>
      </c>
      <c r="P8" s="25">
        <f t="shared" si="4"/>
        <v>1</v>
      </c>
      <c r="Q8" s="25">
        <f t="shared" si="5"/>
        <v>5</v>
      </c>
      <c r="R8" s="25">
        <f t="shared" si="6"/>
        <v>5</v>
      </c>
      <c r="S8" s="26">
        <v>4.4333333333333336</v>
      </c>
      <c r="T8" s="26">
        <v>4.4705882352941178</v>
      </c>
      <c r="U8" s="26">
        <f t="shared" si="7"/>
        <v>30.903921568627453</v>
      </c>
      <c r="V8">
        <f>(Tabla1[[#This Row],[Total]]/$U$53)*1000</f>
        <v>19.038255779316849</v>
      </c>
      <c r="W8" s="26">
        <f>ROUND(Tabla1[[#This Row],[Normalización]],0)</f>
        <v>19</v>
      </c>
    </row>
    <row r="9" spans="1:23" ht="28.8" x14ac:dyDescent="0.3">
      <c r="A9" s="22">
        <v>8</v>
      </c>
      <c r="B9" s="23" t="s">
        <v>130</v>
      </c>
      <c r="C9" s="24" t="s">
        <v>125</v>
      </c>
      <c r="D9" s="23" t="s">
        <v>135</v>
      </c>
      <c r="E9" s="23" t="s">
        <v>136</v>
      </c>
      <c r="F9" s="20" t="s">
        <v>226</v>
      </c>
      <c r="G9" s="23" t="s">
        <v>215</v>
      </c>
      <c r="H9" s="23" t="s">
        <v>55</v>
      </c>
      <c r="I9" s="23" t="s">
        <v>215</v>
      </c>
      <c r="J9" s="23" t="s">
        <v>55</v>
      </c>
      <c r="K9" s="23" t="s">
        <v>215</v>
      </c>
      <c r="L9" s="23" t="s">
        <v>215</v>
      </c>
      <c r="M9" s="25">
        <f t="shared" si="1"/>
        <v>5</v>
      </c>
      <c r="N9" s="25">
        <f t="shared" si="2"/>
        <v>1</v>
      </c>
      <c r="O9" s="25">
        <f t="shared" si="3"/>
        <v>5</v>
      </c>
      <c r="P9" s="25">
        <f t="shared" si="4"/>
        <v>1</v>
      </c>
      <c r="Q9" s="25">
        <f t="shared" si="5"/>
        <v>5</v>
      </c>
      <c r="R9" s="25">
        <f t="shared" si="6"/>
        <v>5</v>
      </c>
      <c r="S9" s="26">
        <v>4.4333333333333336</v>
      </c>
      <c r="T9" s="26">
        <v>4.628571428571429</v>
      </c>
      <c r="U9" s="26">
        <f t="shared" si="7"/>
        <v>31.061904761904763</v>
      </c>
      <c r="V9">
        <f>(Tabla1[[#This Row],[Total]]/$U$53)*1000</f>
        <v>19.135580788240631</v>
      </c>
      <c r="W9" s="26">
        <f>ROUND(Tabla1[[#This Row],[Normalización]],0)</f>
        <v>19</v>
      </c>
    </row>
    <row r="10" spans="1:23" x14ac:dyDescent="0.3">
      <c r="A10" s="22">
        <v>9</v>
      </c>
      <c r="B10" s="23" t="s">
        <v>137</v>
      </c>
      <c r="C10" s="24" t="s">
        <v>125</v>
      </c>
      <c r="D10" s="23" t="s">
        <v>138</v>
      </c>
      <c r="E10" s="23" t="s">
        <v>139</v>
      </c>
      <c r="F10" s="20" t="s">
        <v>227</v>
      </c>
      <c r="G10" s="23" t="s">
        <v>215</v>
      </c>
      <c r="H10" s="23" t="s">
        <v>215</v>
      </c>
      <c r="I10" s="23" t="s">
        <v>215</v>
      </c>
      <c r="J10" s="23" t="s">
        <v>215</v>
      </c>
      <c r="K10" s="23" t="s">
        <v>215</v>
      </c>
      <c r="L10" s="23" t="s">
        <v>215</v>
      </c>
      <c r="M10" s="25">
        <f t="shared" si="1"/>
        <v>5</v>
      </c>
      <c r="N10" s="25">
        <f t="shared" si="2"/>
        <v>5</v>
      </c>
      <c r="O10" s="25">
        <f t="shared" si="3"/>
        <v>5</v>
      </c>
      <c r="P10" s="25">
        <f t="shared" si="4"/>
        <v>5</v>
      </c>
      <c r="Q10" s="25">
        <f t="shared" si="5"/>
        <v>5</v>
      </c>
      <c r="R10" s="25">
        <f t="shared" si="6"/>
        <v>5</v>
      </c>
      <c r="S10" s="26">
        <v>4.62</v>
      </c>
      <c r="T10" s="26">
        <v>4.68</v>
      </c>
      <c r="U10" s="26">
        <f t="shared" si="7"/>
        <v>39.299999999999997</v>
      </c>
      <c r="V10">
        <f>(Tabla1[[#This Row],[Total]]/$U$53)*1000</f>
        <v>24.210631342227494</v>
      </c>
      <c r="W10" s="26">
        <f>ROUND(Tabla1[[#This Row],[Normalización]],0)</f>
        <v>24</v>
      </c>
    </row>
    <row r="11" spans="1:23" ht="28.8" x14ac:dyDescent="0.3">
      <c r="A11" s="22">
        <v>10</v>
      </c>
      <c r="B11" s="23" t="s">
        <v>137</v>
      </c>
      <c r="C11" s="24" t="s">
        <v>125</v>
      </c>
      <c r="D11" s="23" t="s">
        <v>140</v>
      </c>
      <c r="E11" s="23" t="s">
        <v>141</v>
      </c>
      <c r="F11" s="20" t="s">
        <v>228</v>
      </c>
      <c r="G11" s="23" t="s">
        <v>215</v>
      </c>
      <c r="H11" s="23" t="s">
        <v>215</v>
      </c>
      <c r="I11" s="23" t="s">
        <v>55</v>
      </c>
      <c r="J11" s="23" t="s">
        <v>215</v>
      </c>
      <c r="K11" s="23" t="s">
        <v>215</v>
      </c>
      <c r="L11" s="23" t="s">
        <v>55</v>
      </c>
      <c r="M11" s="25">
        <f t="shared" si="1"/>
        <v>5</v>
      </c>
      <c r="N11" s="25">
        <f t="shared" si="2"/>
        <v>5</v>
      </c>
      <c r="O11" s="25">
        <f t="shared" si="3"/>
        <v>1</v>
      </c>
      <c r="P11" s="25">
        <f t="shared" si="4"/>
        <v>5</v>
      </c>
      <c r="Q11" s="25">
        <f t="shared" si="5"/>
        <v>5</v>
      </c>
      <c r="R11" s="25">
        <f t="shared" si="6"/>
        <v>1</v>
      </c>
      <c r="S11" s="26">
        <v>4.62</v>
      </c>
      <c r="T11" s="26">
        <v>4.49</v>
      </c>
      <c r="U11" s="26">
        <f t="shared" si="7"/>
        <v>31.11</v>
      </c>
      <c r="V11">
        <f>(Tabla1[[#This Row],[Total]]/$U$53)*1000</f>
        <v>19.165209696099168</v>
      </c>
      <c r="W11" s="26">
        <f>ROUND(Tabla1[[#This Row],[Normalización]],0)</f>
        <v>19</v>
      </c>
    </row>
    <row r="12" spans="1:23" x14ac:dyDescent="0.3">
      <c r="A12" s="22">
        <v>11</v>
      </c>
      <c r="B12" s="23" t="s">
        <v>137</v>
      </c>
      <c r="C12" s="24" t="s">
        <v>125</v>
      </c>
      <c r="D12" s="23" t="s">
        <v>142</v>
      </c>
      <c r="E12" s="23" t="s">
        <v>143</v>
      </c>
      <c r="F12" s="20" t="s">
        <v>229</v>
      </c>
      <c r="G12" s="23" t="s">
        <v>215</v>
      </c>
      <c r="H12" s="23" t="s">
        <v>215</v>
      </c>
      <c r="I12" s="23" t="s">
        <v>215</v>
      </c>
      <c r="J12" s="23" t="s">
        <v>215</v>
      </c>
      <c r="K12" s="23" t="s">
        <v>215</v>
      </c>
      <c r="L12" s="23" t="s">
        <v>215</v>
      </c>
      <c r="M12" s="25">
        <f t="shared" si="1"/>
        <v>5</v>
      </c>
      <c r="N12" s="25">
        <f t="shared" si="2"/>
        <v>5</v>
      </c>
      <c r="O12" s="25">
        <f t="shared" si="3"/>
        <v>5</v>
      </c>
      <c r="P12" s="25">
        <f t="shared" si="4"/>
        <v>5</v>
      </c>
      <c r="Q12" s="25">
        <f t="shared" si="5"/>
        <v>5</v>
      </c>
      <c r="R12" s="25">
        <f t="shared" si="6"/>
        <v>5</v>
      </c>
      <c r="S12" s="26">
        <v>4.62</v>
      </c>
      <c r="T12" s="26">
        <v>4.6900000000000004</v>
      </c>
      <c r="U12" s="26">
        <f t="shared" si="7"/>
        <v>39.309999999999995</v>
      </c>
      <c r="V12">
        <f>(Tabla1[[#This Row],[Total]]/$U$53)*1000</f>
        <v>24.216791808217881</v>
      </c>
      <c r="W12" s="26">
        <f>ROUND(Tabla1[[#This Row],[Normalización]],0)</f>
        <v>24</v>
      </c>
    </row>
    <row r="13" spans="1:23" x14ac:dyDescent="0.3">
      <c r="A13" s="22">
        <v>12</v>
      </c>
      <c r="B13" s="23" t="s">
        <v>137</v>
      </c>
      <c r="C13" s="24" t="s">
        <v>125</v>
      </c>
      <c r="D13" s="23" t="s">
        <v>144</v>
      </c>
      <c r="E13" s="23" t="s">
        <v>145</v>
      </c>
      <c r="F13" s="20" t="s">
        <v>230</v>
      </c>
      <c r="G13" s="23" t="s">
        <v>215</v>
      </c>
      <c r="H13" s="23" t="s">
        <v>215</v>
      </c>
      <c r="I13" s="23" t="s">
        <v>215</v>
      </c>
      <c r="J13" s="23" t="s">
        <v>215</v>
      </c>
      <c r="K13" s="23" t="s">
        <v>215</v>
      </c>
      <c r="L13" s="23" t="s">
        <v>55</v>
      </c>
      <c r="M13" s="25">
        <f t="shared" si="1"/>
        <v>5</v>
      </c>
      <c r="N13" s="25">
        <f t="shared" si="2"/>
        <v>5</v>
      </c>
      <c r="O13" s="25">
        <f t="shared" si="3"/>
        <v>5</v>
      </c>
      <c r="P13" s="25">
        <f t="shared" si="4"/>
        <v>5</v>
      </c>
      <c r="Q13" s="25">
        <f t="shared" si="5"/>
        <v>5</v>
      </c>
      <c r="R13" s="25">
        <f t="shared" si="6"/>
        <v>1</v>
      </c>
      <c r="S13" s="26">
        <v>4.62</v>
      </c>
      <c r="T13" s="26">
        <v>4.49</v>
      </c>
      <c r="U13" s="26">
        <f t="shared" si="7"/>
        <v>35.11</v>
      </c>
      <c r="V13">
        <f>(Tabla1[[#This Row],[Total]]/$U$53)*1000</f>
        <v>21.629396092254638</v>
      </c>
      <c r="W13" s="26">
        <f>ROUND(Tabla1[[#This Row],[Normalización]],0)</f>
        <v>22</v>
      </c>
    </row>
    <row r="14" spans="1:23" ht="28.8" x14ac:dyDescent="0.3">
      <c r="A14" s="22">
        <v>13</v>
      </c>
      <c r="B14" s="23" t="s">
        <v>146</v>
      </c>
      <c r="C14" s="24" t="s">
        <v>131</v>
      </c>
      <c r="D14" s="23" t="s">
        <v>147</v>
      </c>
      <c r="E14" s="23" t="s">
        <v>148</v>
      </c>
      <c r="F14" s="20" t="s">
        <v>231</v>
      </c>
      <c r="G14" s="23" t="s">
        <v>215</v>
      </c>
      <c r="H14" s="23" t="s">
        <v>55</v>
      </c>
      <c r="I14" s="23" t="s">
        <v>215</v>
      </c>
      <c r="J14" s="23" t="s">
        <v>55</v>
      </c>
      <c r="K14" s="23" t="s">
        <v>55</v>
      </c>
      <c r="L14" s="23" t="s">
        <v>215</v>
      </c>
      <c r="M14" s="25">
        <f t="shared" si="1"/>
        <v>5</v>
      </c>
      <c r="N14" s="25">
        <f t="shared" si="2"/>
        <v>1</v>
      </c>
      <c r="O14" s="25">
        <f t="shared" si="3"/>
        <v>5</v>
      </c>
      <c r="P14" s="25">
        <f t="shared" si="4"/>
        <v>1</v>
      </c>
      <c r="Q14" s="25">
        <f t="shared" si="5"/>
        <v>1</v>
      </c>
      <c r="R14" s="25">
        <f t="shared" si="6"/>
        <v>5</v>
      </c>
      <c r="S14" s="26">
        <v>4.62</v>
      </c>
      <c r="T14" s="26">
        <v>4.82</v>
      </c>
      <c r="U14" s="26">
        <f t="shared" si="7"/>
        <v>27.44</v>
      </c>
      <c r="V14">
        <f>(Tabla1[[#This Row],[Total]]/$U$53)*1000</f>
        <v>16.904318677626527</v>
      </c>
      <c r="W14" s="26">
        <f>ROUND(Tabla1[[#This Row],[Normalización]],0)</f>
        <v>17</v>
      </c>
    </row>
    <row r="15" spans="1:23" ht="28.8" x14ac:dyDescent="0.3">
      <c r="A15" s="22">
        <v>14</v>
      </c>
      <c r="B15" s="23" t="s">
        <v>146</v>
      </c>
      <c r="C15" s="24" t="s">
        <v>131</v>
      </c>
      <c r="D15" s="23" t="s">
        <v>147</v>
      </c>
      <c r="E15" s="23" t="s">
        <v>149</v>
      </c>
      <c r="F15" s="20" t="s">
        <v>232</v>
      </c>
      <c r="G15" s="23" t="s">
        <v>215</v>
      </c>
      <c r="H15" s="23" t="s">
        <v>55</v>
      </c>
      <c r="I15" s="23" t="s">
        <v>215</v>
      </c>
      <c r="J15" s="23" t="s">
        <v>55</v>
      </c>
      <c r="K15" s="23" t="s">
        <v>55</v>
      </c>
      <c r="L15" s="23" t="s">
        <v>215</v>
      </c>
      <c r="M15" s="25">
        <f t="shared" si="1"/>
        <v>5</v>
      </c>
      <c r="N15" s="25">
        <f t="shared" si="2"/>
        <v>1</v>
      </c>
      <c r="O15" s="25">
        <f t="shared" si="3"/>
        <v>5</v>
      </c>
      <c r="P15" s="25">
        <f t="shared" si="4"/>
        <v>1</v>
      </c>
      <c r="Q15" s="25">
        <f t="shared" si="5"/>
        <v>1</v>
      </c>
      <c r="R15" s="25">
        <f t="shared" si="6"/>
        <v>5</v>
      </c>
      <c r="S15" s="26">
        <v>4.62</v>
      </c>
      <c r="T15" s="26">
        <v>4.6399999999999997</v>
      </c>
      <c r="U15" s="26">
        <f t="shared" si="7"/>
        <v>27.26</v>
      </c>
      <c r="V15">
        <f>(Tabla1[[#This Row],[Total]]/$U$53)*1000</f>
        <v>16.793430289799531</v>
      </c>
      <c r="W15" s="26">
        <f>ROUND(Tabla1[[#This Row],[Normalización]],0)</f>
        <v>17</v>
      </c>
    </row>
    <row r="16" spans="1:23" ht="28.8" x14ac:dyDescent="0.3">
      <c r="A16" s="22">
        <v>15</v>
      </c>
      <c r="B16" s="23" t="s">
        <v>146</v>
      </c>
      <c r="C16" s="24" t="s">
        <v>131</v>
      </c>
      <c r="D16" s="23" t="s">
        <v>147</v>
      </c>
      <c r="E16" s="23" t="s">
        <v>150</v>
      </c>
      <c r="F16" s="20" t="s">
        <v>233</v>
      </c>
      <c r="G16" s="23" t="s">
        <v>215</v>
      </c>
      <c r="H16" s="23" t="s">
        <v>55</v>
      </c>
      <c r="I16" s="23" t="s">
        <v>215</v>
      </c>
      <c r="J16" s="23" t="s">
        <v>55</v>
      </c>
      <c r="K16" s="23" t="s">
        <v>215</v>
      </c>
      <c r="L16" s="23" t="s">
        <v>215</v>
      </c>
      <c r="M16" s="25">
        <f t="shared" si="1"/>
        <v>5</v>
      </c>
      <c r="N16" s="25">
        <f t="shared" si="2"/>
        <v>1</v>
      </c>
      <c r="O16" s="25">
        <f t="shared" si="3"/>
        <v>5</v>
      </c>
      <c r="P16" s="25">
        <f t="shared" si="4"/>
        <v>1</v>
      </c>
      <c r="Q16" s="25">
        <f t="shared" si="5"/>
        <v>5</v>
      </c>
      <c r="R16" s="25">
        <f t="shared" si="6"/>
        <v>5</v>
      </c>
      <c r="S16" s="26">
        <v>4.62</v>
      </c>
      <c r="T16" s="26">
        <v>4.43</v>
      </c>
      <c r="U16" s="26">
        <f t="shared" si="7"/>
        <v>31.05</v>
      </c>
      <c r="V16">
        <f>(Tabla1[[#This Row],[Total]]/$U$53)*1000</f>
        <v>19.128246900156835</v>
      </c>
      <c r="W16" s="26">
        <f>ROUND(Tabla1[[#This Row],[Normalización]],0)</f>
        <v>19</v>
      </c>
    </row>
    <row r="17" spans="1:23" ht="43.2" x14ac:dyDescent="0.3">
      <c r="A17" s="22">
        <v>16</v>
      </c>
      <c r="B17" s="23" t="s">
        <v>146</v>
      </c>
      <c r="C17" s="24" t="s">
        <v>131</v>
      </c>
      <c r="D17" s="23" t="s">
        <v>147</v>
      </c>
      <c r="E17" s="23" t="s">
        <v>151</v>
      </c>
      <c r="F17" s="20" t="s">
        <v>234</v>
      </c>
      <c r="G17" s="23" t="s">
        <v>215</v>
      </c>
      <c r="H17" s="23" t="s">
        <v>55</v>
      </c>
      <c r="I17" s="23" t="s">
        <v>215</v>
      </c>
      <c r="J17" s="23" t="s">
        <v>55</v>
      </c>
      <c r="K17" s="23" t="s">
        <v>215</v>
      </c>
      <c r="L17" s="23" t="s">
        <v>215</v>
      </c>
      <c r="M17" s="25">
        <f t="shared" si="1"/>
        <v>5</v>
      </c>
      <c r="N17" s="25">
        <f t="shared" si="2"/>
        <v>1</v>
      </c>
      <c r="O17" s="25">
        <f t="shared" si="3"/>
        <v>5</v>
      </c>
      <c r="P17" s="25">
        <f t="shared" si="4"/>
        <v>1</v>
      </c>
      <c r="Q17" s="25">
        <f t="shared" si="5"/>
        <v>5</v>
      </c>
      <c r="R17" s="25">
        <f t="shared" si="6"/>
        <v>5</v>
      </c>
      <c r="S17" s="26">
        <v>4.62</v>
      </c>
      <c r="T17" s="26">
        <v>4.25</v>
      </c>
      <c r="U17" s="26">
        <f t="shared" si="7"/>
        <v>30.87</v>
      </c>
      <c r="V17">
        <f>(Tabla1[[#This Row],[Total]]/$U$53)*1000</f>
        <v>19.017358512329839</v>
      </c>
      <c r="W17" s="26">
        <f>ROUND(Tabla1[[#This Row],[Normalización]],0)</f>
        <v>19</v>
      </c>
    </row>
    <row r="18" spans="1:23" ht="43.2" x14ac:dyDescent="0.3">
      <c r="A18" s="22">
        <v>17</v>
      </c>
      <c r="B18" s="23" t="s">
        <v>146</v>
      </c>
      <c r="C18" s="24" t="s">
        <v>131</v>
      </c>
      <c r="D18" s="23" t="s">
        <v>147</v>
      </c>
      <c r="E18" s="23" t="s">
        <v>152</v>
      </c>
      <c r="F18" s="20" t="s">
        <v>235</v>
      </c>
      <c r="G18" s="23" t="s">
        <v>215</v>
      </c>
      <c r="H18" s="23" t="s">
        <v>55</v>
      </c>
      <c r="I18" s="23" t="s">
        <v>215</v>
      </c>
      <c r="J18" s="23" t="s">
        <v>55</v>
      </c>
      <c r="K18" s="23" t="s">
        <v>215</v>
      </c>
      <c r="L18" s="23" t="s">
        <v>215</v>
      </c>
      <c r="M18" s="25">
        <f t="shared" si="1"/>
        <v>5</v>
      </c>
      <c r="N18" s="25">
        <f t="shared" si="2"/>
        <v>1</v>
      </c>
      <c r="O18" s="25">
        <f t="shared" si="3"/>
        <v>5</v>
      </c>
      <c r="P18" s="25">
        <f t="shared" si="4"/>
        <v>1</v>
      </c>
      <c r="Q18" s="25">
        <f t="shared" si="5"/>
        <v>5</v>
      </c>
      <c r="R18" s="25">
        <f t="shared" si="6"/>
        <v>5</v>
      </c>
      <c r="S18" s="26">
        <v>4.62</v>
      </c>
      <c r="T18" s="27">
        <v>4.62</v>
      </c>
      <c r="U18" s="26">
        <f t="shared" si="7"/>
        <v>31.240000000000002</v>
      </c>
      <c r="V18">
        <f>(Tabla1[[#This Row],[Total]]/$U$53)*1000</f>
        <v>19.245295753974222</v>
      </c>
      <c r="W18" s="26">
        <f>ROUND(Tabla1[[#This Row],[Normalización]],0)</f>
        <v>19</v>
      </c>
    </row>
    <row r="19" spans="1:23" ht="43.2" x14ac:dyDescent="0.3">
      <c r="A19" s="22">
        <v>18</v>
      </c>
      <c r="B19" s="23" t="s">
        <v>153</v>
      </c>
      <c r="C19" s="24" t="s">
        <v>131</v>
      </c>
      <c r="D19" s="23" t="s">
        <v>147</v>
      </c>
      <c r="E19" s="23" t="s">
        <v>154</v>
      </c>
      <c r="F19" s="20" t="s">
        <v>236</v>
      </c>
      <c r="G19" s="23" t="s">
        <v>55</v>
      </c>
      <c r="H19" s="23" t="s">
        <v>215</v>
      </c>
      <c r="I19" s="23" t="s">
        <v>215</v>
      </c>
      <c r="J19" s="23" t="s">
        <v>215</v>
      </c>
      <c r="K19" s="23" t="s">
        <v>215</v>
      </c>
      <c r="L19" s="23" t="s">
        <v>215</v>
      </c>
      <c r="M19" s="25">
        <f t="shared" si="1"/>
        <v>1</v>
      </c>
      <c r="N19" s="25">
        <f t="shared" si="2"/>
        <v>5</v>
      </c>
      <c r="O19" s="25">
        <f t="shared" si="3"/>
        <v>5</v>
      </c>
      <c r="P19" s="25">
        <f t="shared" si="4"/>
        <v>5</v>
      </c>
      <c r="Q19" s="25">
        <f t="shared" si="5"/>
        <v>5</v>
      </c>
      <c r="R19" s="25">
        <f t="shared" si="6"/>
        <v>5</v>
      </c>
      <c r="S19" s="26">
        <v>4.4074074074074074</v>
      </c>
      <c r="T19" s="26">
        <v>4.25</v>
      </c>
      <c r="U19" s="26">
        <f t="shared" si="7"/>
        <v>34.657407407407405</v>
      </c>
      <c r="V19">
        <f>(Tabla1[[#This Row],[Total]]/$U$53)*1000</f>
        <v>21.350577964837786</v>
      </c>
      <c r="W19" s="26">
        <f>ROUND(Tabla1[[#This Row],[Normalización]],0)</f>
        <v>21</v>
      </c>
    </row>
    <row r="20" spans="1:23" ht="43.2" x14ac:dyDescent="0.3">
      <c r="A20" s="22">
        <v>19</v>
      </c>
      <c r="B20" s="23" t="s">
        <v>153</v>
      </c>
      <c r="C20" s="23" t="s">
        <v>155</v>
      </c>
      <c r="D20" s="24" t="s">
        <v>156</v>
      </c>
      <c r="E20" s="23" t="s">
        <v>157</v>
      </c>
      <c r="F20" s="20" t="s">
        <v>237</v>
      </c>
      <c r="G20" s="23" t="s">
        <v>55</v>
      </c>
      <c r="H20" s="23" t="s">
        <v>215</v>
      </c>
      <c r="I20" s="23" t="s">
        <v>215</v>
      </c>
      <c r="J20" s="23" t="s">
        <v>55</v>
      </c>
      <c r="K20" s="23" t="s">
        <v>215</v>
      </c>
      <c r="L20" s="23" t="s">
        <v>215</v>
      </c>
      <c r="M20" s="25">
        <f t="shared" si="1"/>
        <v>1</v>
      </c>
      <c r="N20" s="25">
        <f t="shared" si="2"/>
        <v>5</v>
      </c>
      <c r="O20" s="25">
        <f t="shared" si="3"/>
        <v>5</v>
      </c>
      <c r="P20" s="25">
        <f t="shared" si="4"/>
        <v>1</v>
      </c>
      <c r="Q20" s="25">
        <f t="shared" si="5"/>
        <v>5</v>
      </c>
      <c r="R20" s="25">
        <f t="shared" si="6"/>
        <v>5</v>
      </c>
      <c r="S20" s="26">
        <v>4.4074074074074074</v>
      </c>
      <c r="T20" s="26">
        <v>4.4642857142857144</v>
      </c>
      <c r="U20" s="26">
        <f t="shared" si="7"/>
        <v>30.871693121693124</v>
      </c>
      <c r="V20">
        <f>(Tabla1[[#This Row],[Total]]/$U$53)*1000</f>
        <v>19.01840155419065</v>
      </c>
      <c r="W20" s="26">
        <f>ROUND(Tabla1[[#This Row],[Normalización]],0)</f>
        <v>19</v>
      </c>
    </row>
    <row r="21" spans="1:23" ht="43.2" x14ac:dyDescent="0.3">
      <c r="A21" s="22">
        <v>20</v>
      </c>
      <c r="B21" s="23" t="s">
        <v>153</v>
      </c>
      <c r="C21" s="24" t="s">
        <v>131</v>
      </c>
      <c r="D21" s="23" t="s">
        <v>158</v>
      </c>
      <c r="E21" s="23" t="s">
        <v>159</v>
      </c>
      <c r="F21" s="20" t="s">
        <v>238</v>
      </c>
      <c r="G21" s="23" t="s">
        <v>55</v>
      </c>
      <c r="H21" s="23" t="s">
        <v>55</v>
      </c>
      <c r="I21" s="23" t="s">
        <v>215</v>
      </c>
      <c r="J21" s="23" t="s">
        <v>55</v>
      </c>
      <c r="K21" s="23" t="s">
        <v>215</v>
      </c>
      <c r="L21" s="23" t="s">
        <v>215</v>
      </c>
      <c r="M21" s="25">
        <f t="shared" si="1"/>
        <v>1</v>
      </c>
      <c r="N21" s="25">
        <f t="shared" si="2"/>
        <v>1</v>
      </c>
      <c r="O21" s="25">
        <f t="shared" si="3"/>
        <v>5</v>
      </c>
      <c r="P21" s="25">
        <f t="shared" si="4"/>
        <v>1</v>
      </c>
      <c r="Q21" s="25">
        <f t="shared" si="5"/>
        <v>5</v>
      </c>
      <c r="R21" s="25">
        <f t="shared" si="6"/>
        <v>5</v>
      </c>
      <c r="S21" s="26">
        <v>4.4074074074074074</v>
      </c>
      <c r="T21" s="26">
        <v>4.5357142857142856</v>
      </c>
      <c r="U21" s="26">
        <f t="shared" si="7"/>
        <v>26.943121693121693</v>
      </c>
      <c r="V21">
        <f>(Tabla1[[#This Row],[Total]]/$U$53)*1000</f>
        <v>16.598218486537952</v>
      </c>
      <c r="W21" s="26">
        <f>ROUND(Tabla1[[#This Row],[Normalización]],0)</f>
        <v>17</v>
      </c>
    </row>
    <row r="22" spans="1:23" ht="57.6" x14ac:dyDescent="0.3">
      <c r="A22" s="22">
        <v>21</v>
      </c>
      <c r="B22" s="23" t="s">
        <v>160</v>
      </c>
      <c r="C22" s="24" t="s">
        <v>155</v>
      </c>
      <c r="D22" s="23" t="s">
        <v>161</v>
      </c>
      <c r="E22" s="23" t="s">
        <v>162</v>
      </c>
      <c r="F22" s="20" t="s">
        <v>239</v>
      </c>
      <c r="G22" s="23" t="s">
        <v>215</v>
      </c>
      <c r="H22" s="23" t="s">
        <v>215</v>
      </c>
      <c r="I22" s="23" t="s">
        <v>215</v>
      </c>
      <c r="J22" s="23" t="s">
        <v>215</v>
      </c>
      <c r="K22" s="23" t="s">
        <v>55</v>
      </c>
      <c r="L22" s="23" t="s">
        <v>215</v>
      </c>
      <c r="M22" s="25">
        <f t="shared" si="1"/>
        <v>5</v>
      </c>
      <c r="N22" s="25">
        <f t="shared" si="2"/>
        <v>5</v>
      </c>
      <c r="O22" s="25">
        <f t="shared" si="3"/>
        <v>5</v>
      </c>
      <c r="P22" s="25">
        <f t="shared" si="4"/>
        <v>5</v>
      </c>
      <c r="Q22" s="25">
        <f t="shared" si="5"/>
        <v>1</v>
      </c>
      <c r="R22" s="25">
        <f t="shared" si="6"/>
        <v>5</v>
      </c>
      <c r="S22" s="26">
        <v>4.5199999999999996</v>
      </c>
      <c r="T22" s="26">
        <v>4.59</v>
      </c>
      <c r="U22" s="26">
        <f t="shared" si="7"/>
        <v>35.11</v>
      </c>
      <c r="V22">
        <f>(Tabla1[[#This Row],[Total]]/$U$53)*1000</f>
        <v>21.629396092254638</v>
      </c>
      <c r="W22" s="26">
        <f>ROUND(Tabla1[[#This Row],[Normalización]],0)</f>
        <v>22</v>
      </c>
    </row>
    <row r="23" spans="1:23" ht="57.6" x14ac:dyDescent="0.3">
      <c r="A23" s="22">
        <v>22</v>
      </c>
      <c r="B23" s="23" t="s">
        <v>160</v>
      </c>
      <c r="C23" s="24" t="s">
        <v>155</v>
      </c>
      <c r="D23" s="23" t="s">
        <v>161</v>
      </c>
      <c r="E23" s="23" t="s">
        <v>163</v>
      </c>
      <c r="F23" s="20" t="s">
        <v>240</v>
      </c>
      <c r="G23" s="23" t="s">
        <v>215</v>
      </c>
      <c r="H23" s="23" t="s">
        <v>215</v>
      </c>
      <c r="I23" s="23" t="s">
        <v>215</v>
      </c>
      <c r="J23" s="23" t="s">
        <v>55</v>
      </c>
      <c r="K23" s="23" t="s">
        <v>215</v>
      </c>
      <c r="L23" s="23" t="s">
        <v>215</v>
      </c>
      <c r="M23" s="25">
        <f t="shared" si="1"/>
        <v>5</v>
      </c>
      <c r="N23" s="25">
        <f t="shared" si="2"/>
        <v>5</v>
      </c>
      <c r="O23" s="25">
        <f t="shared" si="3"/>
        <v>5</v>
      </c>
      <c r="P23" s="25">
        <f t="shared" si="4"/>
        <v>1</v>
      </c>
      <c r="Q23" s="25">
        <f t="shared" si="5"/>
        <v>5</v>
      </c>
      <c r="R23" s="25">
        <f t="shared" si="6"/>
        <v>5</v>
      </c>
      <c r="S23" s="26">
        <v>4.5199999999999996</v>
      </c>
      <c r="T23" s="26">
        <v>4.3099999999999996</v>
      </c>
      <c r="U23" s="26">
        <f t="shared" si="7"/>
        <v>34.83</v>
      </c>
      <c r="V23">
        <f>(Tabla1[[#This Row],[Total]]/$U$53)*1000</f>
        <v>21.456903044523756</v>
      </c>
      <c r="W23" s="26">
        <f>ROUND(Tabla1[[#This Row],[Normalización]],0)</f>
        <v>21</v>
      </c>
    </row>
    <row r="24" spans="1:23" ht="57.6" x14ac:dyDescent="0.3">
      <c r="A24" s="22">
        <v>23</v>
      </c>
      <c r="B24" s="23" t="s">
        <v>160</v>
      </c>
      <c r="C24" s="24" t="s">
        <v>155</v>
      </c>
      <c r="D24" s="23" t="s">
        <v>156</v>
      </c>
      <c r="E24" s="23" t="s">
        <v>164</v>
      </c>
      <c r="F24" s="20" t="s">
        <v>241</v>
      </c>
      <c r="G24" s="23" t="s">
        <v>215</v>
      </c>
      <c r="H24" s="23" t="s">
        <v>215</v>
      </c>
      <c r="I24" s="23" t="s">
        <v>215</v>
      </c>
      <c r="J24" s="23" t="s">
        <v>55</v>
      </c>
      <c r="K24" s="23" t="s">
        <v>55</v>
      </c>
      <c r="L24" s="23" t="s">
        <v>215</v>
      </c>
      <c r="M24" s="25">
        <f t="shared" si="1"/>
        <v>5</v>
      </c>
      <c r="N24" s="25">
        <f t="shared" si="2"/>
        <v>5</v>
      </c>
      <c r="O24" s="25">
        <f t="shared" si="3"/>
        <v>5</v>
      </c>
      <c r="P24" s="25">
        <f t="shared" si="4"/>
        <v>1</v>
      </c>
      <c r="Q24" s="25">
        <f t="shared" si="5"/>
        <v>1</v>
      </c>
      <c r="R24" s="25">
        <f t="shared" si="6"/>
        <v>5</v>
      </c>
      <c r="S24" s="26">
        <v>4.5199999999999996</v>
      </c>
      <c r="T24" s="26">
        <v>4.45</v>
      </c>
      <c r="U24" s="26">
        <f t="shared" si="7"/>
        <v>30.97</v>
      </c>
      <c r="V24">
        <f>(Tabla1[[#This Row],[Total]]/$U$53)*1000</f>
        <v>19.078963172233724</v>
      </c>
      <c r="W24" s="26">
        <f>ROUND(Tabla1[[#This Row],[Normalización]],0)</f>
        <v>19</v>
      </c>
    </row>
    <row r="25" spans="1:23" ht="57.6" x14ac:dyDescent="0.3">
      <c r="A25" s="22">
        <v>24</v>
      </c>
      <c r="B25" s="23" t="s">
        <v>160</v>
      </c>
      <c r="C25" s="24" t="s">
        <v>155</v>
      </c>
      <c r="D25" s="23" t="s">
        <v>156</v>
      </c>
      <c r="E25" s="24" t="s">
        <v>165</v>
      </c>
      <c r="F25" s="20" t="s">
        <v>242</v>
      </c>
      <c r="G25" s="23" t="s">
        <v>215</v>
      </c>
      <c r="H25" s="23" t="s">
        <v>215</v>
      </c>
      <c r="I25" s="23" t="s">
        <v>215</v>
      </c>
      <c r="J25" s="23" t="s">
        <v>215</v>
      </c>
      <c r="K25" s="23" t="s">
        <v>215</v>
      </c>
      <c r="L25" s="23" t="s">
        <v>215</v>
      </c>
      <c r="M25" s="25">
        <f t="shared" si="1"/>
        <v>5</v>
      </c>
      <c r="N25" s="25">
        <f t="shared" si="2"/>
        <v>5</v>
      </c>
      <c r="O25" s="25">
        <f t="shared" si="3"/>
        <v>5</v>
      </c>
      <c r="P25" s="25">
        <f t="shared" si="4"/>
        <v>5</v>
      </c>
      <c r="Q25" s="25">
        <f t="shared" si="5"/>
        <v>5</v>
      </c>
      <c r="R25" s="25">
        <f t="shared" si="6"/>
        <v>5</v>
      </c>
      <c r="S25" s="26">
        <v>4.5199999999999996</v>
      </c>
      <c r="T25" s="26">
        <v>4.24</v>
      </c>
      <c r="U25" s="26">
        <f t="shared" si="7"/>
        <v>38.76</v>
      </c>
      <c r="V25">
        <f>(Tabla1[[#This Row],[Total]]/$U$53)*1000</f>
        <v>23.877966178746505</v>
      </c>
      <c r="W25" s="26">
        <f>ROUND(Tabla1[[#This Row],[Normalización]],0)</f>
        <v>24</v>
      </c>
    </row>
    <row r="26" spans="1:23" ht="57.6" x14ac:dyDescent="0.3">
      <c r="A26" s="22">
        <v>25</v>
      </c>
      <c r="B26" s="23" t="s">
        <v>160</v>
      </c>
      <c r="C26" s="24" t="s">
        <v>155</v>
      </c>
      <c r="D26" s="23" t="s">
        <v>156</v>
      </c>
      <c r="E26" s="24" t="s">
        <v>166</v>
      </c>
      <c r="F26" s="20" t="s">
        <v>243</v>
      </c>
      <c r="G26" s="23" t="s">
        <v>215</v>
      </c>
      <c r="H26" s="23" t="s">
        <v>215</v>
      </c>
      <c r="I26" s="23" t="s">
        <v>215</v>
      </c>
      <c r="J26" s="23" t="s">
        <v>215</v>
      </c>
      <c r="K26" s="23" t="s">
        <v>215</v>
      </c>
      <c r="L26" s="23" t="s">
        <v>215</v>
      </c>
      <c r="M26" s="25">
        <f t="shared" si="1"/>
        <v>5</v>
      </c>
      <c r="N26" s="25">
        <f t="shared" si="2"/>
        <v>5</v>
      </c>
      <c r="O26" s="25">
        <f t="shared" si="3"/>
        <v>5</v>
      </c>
      <c r="P26" s="25">
        <f t="shared" si="4"/>
        <v>5</v>
      </c>
      <c r="Q26" s="25">
        <f t="shared" si="5"/>
        <v>5</v>
      </c>
      <c r="R26" s="25">
        <f t="shared" si="6"/>
        <v>5</v>
      </c>
      <c r="S26" s="26">
        <v>4.5199999999999996</v>
      </c>
      <c r="T26" s="26">
        <v>4.24</v>
      </c>
      <c r="U26" s="26">
        <f t="shared" si="7"/>
        <v>38.76</v>
      </c>
      <c r="V26">
        <f>(Tabla1[[#This Row],[Total]]/$U$53)*1000</f>
        <v>23.877966178746505</v>
      </c>
      <c r="W26" s="26">
        <f>ROUND(Tabla1[[#This Row],[Normalización]],0)</f>
        <v>24</v>
      </c>
    </row>
    <row r="27" spans="1:23" ht="57.6" x14ac:dyDescent="0.3">
      <c r="A27" s="22">
        <v>26</v>
      </c>
      <c r="B27" s="23" t="s">
        <v>160</v>
      </c>
      <c r="C27" s="24" t="s">
        <v>155</v>
      </c>
      <c r="D27" s="23" t="s">
        <v>156</v>
      </c>
      <c r="E27" s="24" t="s">
        <v>167</v>
      </c>
      <c r="F27" s="20" t="s">
        <v>244</v>
      </c>
      <c r="G27" s="23" t="s">
        <v>215</v>
      </c>
      <c r="H27" s="23" t="s">
        <v>215</v>
      </c>
      <c r="I27" s="23" t="s">
        <v>215</v>
      </c>
      <c r="J27" s="23" t="s">
        <v>215</v>
      </c>
      <c r="K27" s="23" t="s">
        <v>215</v>
      </c>
      <c r="L27" s="23" t="s">
        <v>215</v>
      </c>
      <c r="M27" s="25">
        <f t="shared" si="1"/>
        <v>5</v>
      </c>
      <c r="N27" s="25">
        <f t="shared" si="2"/>
        <v>5</v>
      </c>
      <c r="O27" s="25">
        <f t="shared" si="3"/>
        <v>5</v>
      </c>
      <c r="P27" s="25">
        <f t="shared" si="4"/>
        <v>5</v>
      </c>
      <c r="Q27" s="25">
        <f t="shared" si="5"/>
        <v>5</v>
      </c>
      <c r="R27" s="25">
        <f t="shared" si="6"/>
        <v>5</v>
      </c>
      <c r="S27" s="26">
        <v>4.5199999999999996</v>
      </c>
      <c r="T27" s="26">
        <v>4.24</v>
      </c>
      <c r="U27" s="26">
        <f t="shared" si="7"/>
        <v>38.76</v>
      </c>
      <c r="V27">
        <f>(Tabla1[[#This Row],[Total]]/$U$53)*1000</f>
        <v>23.877966178746505</v>
      </c>
      <c r="W27" s="26">
        <f>ROUND(Tabla1[[#This Row],[Normalización]],0)</f>
        <v>24</v>
      </c>
    </row>
    <row r="28" spans="1:23" ht="43.2" x14ac:dyDescent="0.3">
      <c r="A28" s="22">
        <v>27</v>
      </c>
      <c r="B28" s="23" t="s">
        <v>168</v>
      </c>
      <c r="C28" s="24" t="s">
        <v>155</v>
      </c>
      <c r="D28" s="23" t="s">
        <v>161</v>
      </c>
      <c r="E28" s="23" t="s">
        <v>169</v>
      </c>
      <c r="F28" s="20" t="s">
        <v>245</v>
      </c>
      <c r="G28" s="23" t="s">
        <v>55</v>
      </c>
      <c r="H28" s="23" t="s">
        <v>215</v>
      </c>
      <c r="I28" s="23" t="s">
        <v>55</v>
      </c>
      <c r="J28" s="23" t="s">
        <v>55</v>
      </c>
      <c r="K28" s="23" t="s">
        <v>215</v>
      </c>
      <c r="L28" s="23" t="s">
        <v>55</v>
      </c>
      <c r="M28" s="25">
        <f t="shared" si="1"/>
        <v>1</v>
      </c>
      <c r="N28" s="25">
        <f t="shared" si="2"/>
        <v>5</v>
      </c>
      <c r="O28" s="25">
        <f t="shared" si="3"/>
        <v>1</v>
      </c>
      <c r="P28" s="25">
        <f t="shared" si="4"/>
        <v>1</v>
      </c>
      <c r="Q28" s="25">
        <f t="shared" si="5"/>
        <v>5</v>
      </c>
      <c r="R28" s="25">
        <f t="shared" si="6"/>
        <v>1</v>
      </c>
      <c r="S28" s="26">
        <v>4.5199999999999996</v>
      </c>
      <c r="T28" s="26">
        <v>4.18</v>
      </c>
      <c r="U28" s="26">
        <f t="shared" si="7"/>
        <v>22.7</v>
      </c>
      <c r="V28">
        <f>(Tabla1[[#This Row],[Total]]/$U$53)*1000</f>
        <v>13.984257798182293</v>
      </c>
      <c r="W28" s="26">
        <f>ROUND(Tabla1[[#This Row],[Normalización]],0)</f>
        <v>14</v>
      </c>
    </row>
    <row r="29" spans="1:23" ht="43.2" x14ac:dyDescent="0.3">
      <c r="A29" s="22">
        <v>28</v>
      </c>
      <c r="B29" s="23" t="s">
        <v>168</v>
      </c>
      <c r="C29" s="24" t="s">
        <v>155</v>
      </c>
      <c r="D29" s="23" t="s">
        <v>161</v>
      </c>
      <c r="E29" s="23" t="s">
        <v>170</v>
      </c>
      <c r="F29" s="20" t="s">
        <v>246</v>
      </c>
      <c r="G29" s="23" t="s">
        <v>215</v>
      </c>
      <c r="H29" s="23" t="s">
        <v>55</v>
      </c>
      <c r="I29" s="23" t="s">
        <v>55</v>
      </c>
      <c r="J29" s="23" t="s">
        <v>55</v>
      </c>
      <c r="K29" s="23" t="s">
        <v>215</v>
      </c>
      <c r="L29" s="23" t="s">
        <v>55</v>
      </c>
      <c r="M29" s="25">
        <f t="shared" si="1"/>
        <v>5</v>
      </c>
      <c r="N29" s="25">
        <f t="shared" si="2"/>
        <v>1</v>
      </c>
      <c r="O29" s="25">
        <f t="shared" si="3"/>
        <v>1</v>
      </c>
      <c r="P29" s="25">
        <f t="shared" si="4"/>
        <v>1</v>
      </c>
      <c r="Q29" s="25">
        <f t="shared" si="5"/>
        <v>5</v>
      </c>
      <c r="R29" s="25">
        <f t="shared" si="6"/>
        <v>1</v>
      </c>
      <c r="S29" s="26">
        <v>4.5199999999999996</v>
      </c>
      <c r="T29" s="26">
        <v>4.18</v>
      </c>
      <c r="U29" s="26">
        <f t="shared" si="7"/>
        <v>22.7</v>
      </c>
      <c r="V29">
        <f>(Tabla1[[#This Row],[Total]]/$U$53)*1000</f>
        <v>13.984257798182293</v>
      </c>
      <c r="W29" s="26">
        <f>ROUND(Tabla1[[#This Row],[Normalización]],0)</f>
        <v>14</v>
      </c>
    </row>
    <row r="30" spans="1:23" ht="43.2" x14ac:dyDescent="0.3">
      <c r="A30" s="22">
        <v>29</v>
      </c>
      <c r="B30" s="23" t="s">
        <v>168</v>
      </c>
      <c r="C30" s="24" t="s">
        <v>155</v>
      </c>
      <c r="D30" s="23" t="s">
        <v>161</v>
      </c>
      <c r="E30" s="23" t="s">
        <v>171</v>
      </c>
      <c r="F30" s="20" t="s">
        <v>247</v>
      </c>
      <c r="G30" s="23" t="s">
        <v>215</v>
      </c>
      <c r="H30" s="23" t="s">
        <v>55</v>
      </c>
      <c r="I30" s="23" t="s">
        <v>55</v>
      </c>
      <c r="J30" s="23" t="s">
        <v>215</v>
      </c>
      <c r="K30" s="23" t="s">
        <v>215</v>
      </c>
      <c r="L30" s="23" t="s">
        <v>55</v>
      </c>
      <c r="M30" s="25">
        <f t="shared" si="1"/>
        <v>5</v>
      </c>
      <c r="N30" s="25">
        <f t="shared" si="2"/>
        <v>1</v>
      </c>
      <c r="O30" s="25">
        <f t="shared" si="3"/>
        <v>1</v>
      </c>
      <c r="P30" s="25">
        <f t="shared" si="4"/>
        <v>5</v>
      </c>
      <c r="Q30" s="25">
        <f t="shared" si="5"/>
        <v>5</v>
      </c>
      <c r="R30" s="25">
        <f t="shared" si="6"/>
        <v>1</v>
      </c>
      <c r="S30" s="26">
        <v>4.5199999999999996</v>
      </c>
      <c r="T30" s="26">
        <v>4.34</v>
      </c>
      <c r="U30" s="26">
        <f t="shared" si="7"/>
        <v>26.86</v>
      </c>
      <c r="V30">
        <f>(Tabla1[[#This Row],[Total]]/$U$53)*1000</f>
        <v>16.547011650183979</v>
      </c>
      <c r="W30" s="26">
        <f>ROUND(Tabla1[[#This Row],[Normalización]],0)</f>
        <v>17</v>
      </c>
    </row>
    <row r="31" spans="1:23" ht="43.2" x14ac:dyDescent="0.3">
      <c r="A31" s="22">
        <v>30</v>
      </c>
      <c r="B31" s="23" t="s">
        <v>168</v>
      </c>
      <c r="C31" s="24" t="s">
        <v>155</v>
      </c>
      <c r="D31" s="23" t="s">
        <v>161</v>
      </c>
      <c r="E31" s="23" t="s">
        <v>172</v>
      </c>
      <c r="F31" s="20" t="s">
        <v>248</v>
      </c>
      <c r="G31" s="23" t="s">
        <v>55</v>
      </c>
      <c r="H31" s="23" t="s">
        <v>215</v>
      </c>
      <c r="I31" s="23" t="s">
        <v>55</v>
      </c>
      <c r="J31" s="23" t="s">
        <v>215</v>
      </c>
      <c r="K31" s="23" t="s">
        <v>215</v>
      </c>
      <c r="L31" s="23" t="s">
        <v>55</v>
      </c>
      <c r="M31" s="25">
        <f t="shared" si="1"/>
        <v>1</v>
      </c>
      <c r="N31" s="25">
        <f t="shared" si="2"/>
        <v>5</v>
      </c>
      <c r="O31" s="25">
        <f t="shared" si="3"/>
        <v>1</v>
      </c>
      <c r="P31" s="25">
        <f t="shared" si="4"/>
        <v>5</v>
      </c>
      <c r="Q31" s="25">
        <f t="shared" si="5"/>
        <v>5</v>
      </c>
      <c r="R31" s="25">
        <f t="shared" si="6"/>
        <v>1</v>
      </c>
      <c r="S31" s="26">
        <v>4.5199999999999996</v>
      </c>
      <c r="T31" s="26">
        <v>4.34</v>
      </c>
      <c r="U31" s="26">
        <f t="shared" si="7"/>
        <v>26.86</v>
      </c>
      <c r="V31">
        <f>(Tabla1[[#This Row],[Total]]/$U$53)*1000</f>
        <v>16.547011650183979</v>
      </c>
      <c r="W31" s="26">
        <f>ROUND(Tabla1[[#This Row],[Normalización]],0)</f>
        <v>17</v>
      </c>
    </row>
    <row r="32" spans="1:23" ht="43.2" x14ac:dyDescent="0.3">
      <c r="A32" s="22">
        <v>31</v>
      </c>
      <c r="B32" s="23" t="s">
        <v>168</v>
      </c>
      <c r="C32" s="24" t="s">
        <v>155</v>
      </c>
      <c r="D32" s="23" t="s">
        <v>161</v>
      </c>
      <c r="E32" s="23" t="s">
        <v>173</v>
      </c>
      <c r="F32" s="38" t="s">
        <v>249</v>
      </c>
      <c r="G32" s="23" t="s">
        <v>215</v>
      </c>
      <c r="H32" s="23" t="s">
        <v>55</v>
      </c>
      <c r="I32" s="23" t="s">
        <v>55</v>
      </c>
      <c r="J32" s="23" t="s">
        <v>215</v>
      </c>
      <c r="K32" s="23" t="s">
        <v>215</v>
      </c>
      <c r="L32" s="23" t="s">
        <v>55</v>
      </c>
      <c r="M32" s="25">
        <f t="shared" si="1"/>
        <v>5</v>
      </c>
      <c r="N32" s="25">
        <f t="shared" si="2"/>
        <v>1</v>
      </c>
      <c r="O32" s="25">
        <f t="shared" si="3"/>
        <v>1</v>
      </c>
      <c r="P32" s="25">
        <f t="shared" si="4"/>
        <v>5</v>
      </c>
      <c r="Q32" s="25">
        <f t="shared" si="5"/>
        <v>5</v>
      </c>
      <c r="R32" s="25">
        <f t="shared" si="6"/>
        <v>1</v>
      </c>
      <c r="S32" s="26">
        <v>4.5199999999999996</v>
      </c>
      <c r="T32" s="26">
        <v>4.28</v>
      </c>
      <c r="U32" s="26">
        <f t="shared" si="7"/>
        <v>26.8</v>
      </c>
      <c r="V32">
        <f>(Tabla1[[#This Row],[Total]]/$U$53)*1000</f>
        <v>16.510048854241649</v>
      </c>
      <c r="W32" s="26">
        <f>ROUND(Tabla1[[#This Row],[Normalización]],0)</f>
        <v>17</v>
      </c>
    </row>
    <row r="33" spans="1:23" ht="43.2" x14ac:dyDescent="0.3">
      <c r="A33" s="22">
        <v>32</v>
      </c>
      <c r="B33" s="23" t="s">
        <v>168</v>
      </c>
      <c r="C33" s="24"/>
      <c r="D33" s="23" t="s">
        <v>125</v>
      </c>
      <c r="E33" s="23" t="s">
        <v>174</v>
      </c>
      <c r="F33" s="38" t="s">
        <v>250</v>
      </c>
      <c r="G33" s="23" t="s">
        <v>215</v>
      </c>
      <c r="H33" s="23" t="s">
        <v>55</v>
      </c>
      <c r="I33" s="23" t="s">
        <v>55</v>
      </c>
      <c r="J33" s="23" t="s">
        <v>55</v>
      </c>
      <c r="K33" s="23" t="s">
        <v>215</v>
      </c>
      <c r="L33" s="23" t="s">
        <v>215</v>
      </c>
      <c r="M33" s="25">
        <f t="shared" si="1"/>
        <v>5</v>
      </c>
      <c r="N33" s="25">
        <f t="shared" si="2"/>
        <v>1</v>
      </c>
      <c r="O33" s="25">
        <f t="shared" si="3"/>
        <v>1</v>
      </c>
      <c r="P33" s="25">
        <f t="shared" si="4"/>
        <v>1</v>
      </c>
      <c r="Q33" s="25">
        <f t="shared" si="5"/>
        <v>5</v>
      </c>
      <c r="R33" s="25">
        <f t="shared" si="6"/>
        <v>5</v>
      </c>
      <c r="S33" s="26">
        <v>4.5199999999999996</v>
      </c>
      <c r="T33" s="27">
        <v>4.5199999999999996</v>
      </c>
      <c r="U33" s="26">
        <f t="shared" si="7"/>
        <v>27.04</v>
      </c>
      <c r="V33">
        <f>(Tabla1[[#This Row],[Total]]/$U$53)*1000</f>
        <v>16.657900038010975</v>
      </c>
      <c r="W33" s="26">
        <f>ROUND(Tabla1[[#This Row],[Normalización]],0)</f>
        <v>17</v>
      </c>
    </row>
    <row r="34" spans="1:23" x14ac:dyDescent="0.3">
      <c r="A34" s="22">
        <v>33</v>
      </c>
      <c r="B34" s="23" t="s">
        <v>175</v>
      </c>
      <c r="C34" s="24" t="s">
        <v>131</v>
      </c>
      <c r="D34" s="23" t="s">
        <v>147</v>
      </c>
      <c r="E34" s="23" t="s">
        <v>176</v>
      </c>
      <c r="F34" s="20" t="s">
        <v>251</v>
      </c>
      <c r="G34" s="23" t="s">
        <v>215</v>
      </c>
      <c r="H34" s="23" t="s">
        <v>215</v>
      </c>
      <c r="I34" s="23" t="s">
        <v>215</v>
      </c>
      <c r="J34" s="23" t="s">
        <v>55</v>
      </c>
      <c r="K34" s="23" t="s">
        <v>215</v>
      </c>
      <c r="L34" s="23" t="s">
        <v>215</v>
      </c>
      <c r="M34" s="25">
        <f t="shared" si="1"/>
        <v>5</v>
      </c>
      <c r="N34" s="25">
        <f t="shared" si="2"/>
        <v>5</v>
      </c>
      <c r="O34" s="25">
        <f t="shared" si="3"/>
        <v>5</v>
      </c>
      <c r="P34" s="25">
        <f t="shared" si="4"/>
        <v>1</v>
      </c>
      <c r="Q34" s="25">
        <f t="shared" si="5"/>
        <v>5</v>
      </c>
      <c r="R34" s="25">
        <f t="shared" si="6"/>
        <v>5</v>
      </c>
      <c r="S34" s="26">
        <v>4.22</v>
      </c>
      <c r="T34" s="26">
        <v>4.3449999999999998</v>
      </c>
      <c r="U34" s="26">
        <f t="shared" si="7"/>
        <v>34.564999999999998</v>
      </c>
      <c r="V34">
        <f>(Tabla1[[#This Row],[Total]]/$U$53)*1000</f>
        <v>21.293650695778453</v>
      </c>
      <c r="W34" s="26">
        <f>ROUND(Tabla1[[#This Row],[Normalización]],0)</f>
        <v>21</v>
      </c>
    </row>
    <row r="35" spans="1:23" ht="28.8" x14ac:dyDescent="0.3">
      <c r="A35" s="22">
        <v>34</v>
      </c>
      <c r="B35" s="23" t="s">
        <v>175</v>
      </c>
      <c r="C35" s="24" t="s">
        <v>131</v>
      </c>
      <c r="D35" s="23" t="s">
        <v>147</v>
      </c>
      <c r="E35" s="23" t="s">
        <v>177</v>
      </c>
      <c r="F35" s="20" t="s">
        <v>252</v>
      </c>
      <c r="G35" s="23" t="s">
        <v>55</v>
      </c>
      <c r="H35" s="23" t="s">
        <v>215</v>
      </c>
      <c r="I35" s="23" t="s">
        <v>215</v>
      </c>
      <c r="J35" s="23" t="s">
        <v>55</v>
      </c>
      <c r="K35" s="23" t="s">
        <v>215</v>
      </c>
      <c r="L35" s="23" t="s">
        <v>215</v>
      </c>
      <c r="M35" s="25">
        <f t="shared" si="1"/>
        <v>1</v>
      </c>
      <c r="N35" s="25">
        <f t="shared" si="2"/>
        <v>5</v>
      </c>
      <c r="O35" s="25">
        <f t="shared" si="3"/>
        <v>5</v>
      </c>
      <c r="P35" s="25">
        <f t="shared" si="4"/>
        <v>1</v>
      </c>
      <c r="Q35" s="25">
        <f t="shared" si="5"/>
        <v>5</v>
      </c>
      <c r="R35" s="25">
        <f t="shared" si="6"/>
        <v>5</v>
      </c>
      <c r="S35" s="26">
        <v>4.22</v>
      </c>
      <c r="T35" s="26">
        <v>4.6550000000000002</v>
      </c>
      <c r="U35" s="26">
        <f t="shared" si="7"/>
        <v>30.875</v>
      </c>
      <c r="V35">
        <f>(Tabla1[[#This Row],[Total]]/$U$53)*1000</f>
        <v>19.020438745325034</v>
      </c>
      <c r="W35" s="26">
        <f>ROUND(Tabla1[[#This Row],[Normalización]],0)</f>
        <v>19</v>
      </c>
    </row>
    <row r="36" spans="1:23" ht="43.2" x14ac:dyDescent="0.3">
      <c r="A36" s="22">
        <v>35</v>
      </c>
      <c r="B36" s="23" t="s">
        <v>175</v>
      </c>
      <c r="C36" s="24" t="s">
        <v>131</v>
      </c>
      <c r="D36" s="23" t="s">
        <v>147</v>
      </c>
      <c r="E36" s="23" t="s">
        <v>178</v>
      </c>
      <c r="F36" s="20" t="s">
        <v>253</v>
      </c>
      <c r="G36" s="23" t="s">
        <v>55</v>
      </c>
      <c r="H36" s="23" t="s">
        <v>55</v>
      </c>
      <c r="I36" s="23" t="s">
        <v>55</v>
      </c>
      <c r="J36" s="23" t="s">
        <v>55</v>
      </c>
      <c r="K36" s="23" t="s">
        <v>215</v>
      </c>
      <c r="L36" s="23" t="s">
        <v>215</v>
      </c>
      <c r="M36" s="25">
        <f t="shared" si="1"/>
        <v>1</v>
      </c>
      <c r="N36" s="25">
        <f t="shared" si="2"/>
        <v>1</v>
      </c>
      <c r="O36" s="25">
        <f t="shared" si="3"/>
        <v>1</v>
      </c>
      <c r="P36" s="25">
        <f t="shared" si="4"/>
        <v>1</v>
      </c>
      <c r="Q36" s="25">
        <f t="shared" si="5"/>
        <v>5</v>
      </c>
      <c r="R36" s="25">
        <f t="shared" si="6"/>
        <v>5</v>
      </c>
      <c r="S36" s="26">
        <v>4.22</v>
      </c>
      <c r="T36" s="26">
        <v>4.28</v>
      </c>
      <c r="U36" s="26">
        <f t="shared" si="7"/>
        <v>22.5</v>
      </c>
      <c r="V36">
        <f>(Tabla1[[#This Row],[Total]]/$U$53)*1000</f>
        <v>13.861048478374519</v>
      </c>
      <c r="W36" s="26">
        <f>ROUND(Tabla1[[#This Row],[Normalización]],0)</f>
        <v>14</v>
      </c>
    </row>
    <row r="37" spans="1:23" ht="28.8" x14ac:dyDescent="0.3">
      <c r="A37" s="22">
        <v>36</v>
      </c>
      <c r="B37" s="23" t="s">
        <v>175</v>
      </c>
      <c r="C37" s="24" t="s">
        <v>131</v>
      </c>
      <c r="D37" s="23" t="s">
        <v>147</v>
      </c>
      <c r="E37" s="23" t="s">
        <v>179</v>
      </c>
      <c r="F37" s="20" t="s">
        <v>254</v>
      </c>
      <c r="G37" s="23" t="s">
        <v>215</v>
      </c>
      <c r="H37" s="23" t="s">
        <v>55</v>
      </c>
      <c r="I37" s="23" t="s">
        <v>215</v>
      </c>
      <c r="J37" s="23" t="s">
        <v>55</v>
      </c>
      <c r="K37" s="23" t="s">
        <v>215</v>
      </c>
      <c r="L37" s="23" t="s">
        <v>55</v>
      </c>
      <c r="M37" s="25">
        <f t="shared" si="1"/>
        <v>5</v>
      </c>
      <c r="N37" s="25">
        <f t="shared" si="2"/>
        <v>1</v>
      </c>
      <c r="O37" s="25">
        <f t="shared" si="3"/>
        <v>5</v>
      </c>
      <c r="P37" s="25">
        <f t="shared" si="4"/>
        <v>1</v>
      </c>
      <c r="Q37" s="25">
        <f t="shared" si="5"/>
        <v>5</v>
      </c>
      <c r="R37" s="25">
        <f t="shared" si="6"/>
        <v>1</v>
      </c>
      <c r="S37" s="26">
        <v>4.22</v>
      </c>
      <c r="T37" s="26">
        <v>4.6900000000000004</v>
      </c>
      <c r="U37" s="26">
        <f t="shared" si="7"/>
        <v>26.91</v>
      </c>
      <c r="V37">
        <f>(Tabla1[[#This Row],[Total]]/$U$53)*1000</f>
        <v>16.577813980135925</v>
      </c>
      <c r="W37" s="26">
        <f>ROUND(Tabla1[[#This Row],[Normalización]],0)</f>
        <v>17</v>
      </c>
    </row>
    <row r="38" spans="1:23" ht="43.2" x14ac:dyDescent="0.3">
      <c r="A38" s="22">
        <v>37</v>
      </c>
      <c r="B38" s="23" t="s">
        <v>175</v>
      </c>
      <c r="C38" s="24" t="s">
        <v>131</v>
      </c>
      <c r="D38" s="23" t="s">
        <v>147</v>
      </c>
      <c r="E38" s="23" t="s">
        <v>180</v>
      </c>
      <c r="F38" s="20" t="s">
        <v>255</v>
      </c>
      <c r="G38" s="23" t="s">
        <v>55</v>
      </c>
      <c r="H38" s="23" t="s">
        <v>55</v>
      </c>
      <c r="I38" s="23" t="s">
        <v>55</v>
      </c>
      <c r="J38" s="23" t="s">
        <v>55</v>
      </c>
      <c r="K38" s="23" t="s">
        <v>215</v>
      </c>
      <c r="L38" s="23" t="s">
        <v>55</v>
      </c>
      <c r="M38" s="25">
        <f t="shared" si="1"/>
        <v>1</v>
      </c>
      <c r="N38" s="25">
        <f t="shared" si="2"/>
        <v>1</v>
      </c>
      <c r="O38" s="25">
        <f t="shared" si="3"/>
        <v>1</v>
      </c>
      <c r="P38" s="25">
        <f t="shared" si="4"/>
        <v>1</v>
      </c>
      <c r="Q38" s="25">
        <f t="shared" si="5"/>
        <v>5</v>
      </c>
      <c r="R38" s="25">
        <f t="shared" si="6"/>
        <v>1</v>
      </c>
      <c r="S38" s="26">
        <v>4.22</v>
      </c>
      <c r="T38" s="26">
        <v>4.3099999999999996</v>
      </c>
      <c r="U38" s="26">
        <f t="shared" si="7"/>
        <v>18.529999999999998</v>
      </c>
      <c r="V38">
        <f>(Tabla1[[#This Row],[Total]]/$U$53)*1000</f>
        <v>11.415343480190213</v>
      </c>
      <c r="W38" s="26">
        <f>ROUND(Tabla1[[#This Row],[Normalización]],0)</f>
        <v>11</v>
      </c>
    </row>
    <row r="39" spans="1:23" ht="43.2" x14ac:dyDescent="0.3">
      <c r="A39" s="22">
        <v>38</v>
      </c>
      <c r="B39" s="23" t="s">
        <v>181</v>
      </c>
      <c r="C39" s="24" t="s">
        <v>125</v>
      </c>
      <c r="D39" s="23" t="s">
        <v>142</v>
      </c>
      <c r="E39" s="23" t="s">
        <v>182</v>
      </c>
      <c r="F39" s="38" t="s">
        <v>256</v>
      </c>
      <c r="G39" s="23" t="s">
        <v>215</v>
      </c>
      <c r="H39" s="23" t="s">
        <v>215</v>
      </c>
      <c r="I39" s="23" t="s">
        <v>55</v>
      </c>
      <c r="J39" s="23" t="s">
        <v>55</v>
      </c>
      <c r="K39" s="23" t="s">
        <v>55</v>
      </c>
      <c r="L39" s="23" t="s">
        <v>55</v>
      </c>
      <c r="M39" s="25">
        <f t="shared" si="1"/>
        <v>5</v>
      </c>
      <c r="N39" s="25">
        <f t="shared" si="2"/>
        <v>5</v>
      </c>
      <c r="O39" s="25">
        <f t="shared" si="3"/>
        <v>1</v>
      </c>
      <c r="P39" s="25">
        <f t="shared" si="4"/>
        <v>1</v>
      </c>
      <c r="Q39" s="25">
        <f t="shared" si="5"/>
        <v>1</v>
      </c>
      <c r="R39" s="25">
        <f t="shared" si="6"/>
        <v>1</v>
      </c>
      <c r="S39" s="26">
        <v>4.2300000000000004</v>
      </c>
      <c r="T39" s="26">
        <v>4.6100000000000003</v>
      </c>
      <c r="U39" s="26">
        <f t="shared" si="7"/>
        <v>22.84</v>
      </c>
      <c r="V39">
        <f>(Tabla1[[#This Row],[Total]]/$U$53)*1000</f>
        <v>14.070504322047734</v>
      </c>
      <c r="W39" s="26">
        <f>ROUND(Tabla1[[#This Row],[Normalización]],0)</f>
        <v>14</v>
      </c>
    </row>
    <row r="40" spans="1:23" ht="43.2" x14ac:dyDescent="0.3">
      <c r="A40" s="22">
        <v>39</v>
      </c>
      <c r="B40" s="23" t="s">
        <v>181</v>
      </c>
      <c r="C40" s="24" t="s">
        <v>125</v>
      </c>
      <c r="D40" s="23" t="s">
        <v>142</v>
      </c>
      <c r="E40" s="23" t="s">
        <v>183</v>
      </c>
      <c r="F40" s="38" t="s">
        <v>257</v>
      </c>
      <c r="G40" s="23" t="s">
        <v>215</v>
      </c>
      <c r="H40" s="23" t="s">
        <v>215</v>
      </c>
      <c r="I40" s="23" t="s">
        <v>215</v>
      </c>
      <c r="J40" s="23" t="s">
        <v>215</v>
      </c>
      <c r="K40" s="23" t="s">
        <v>215</v>
      </c>
      <c r="L40" s="23" t="s">
        <v>215</v>
      </c>
      <c r="M40" s="25">
        <f t="shared" si="1"/>
        <v>5</v>
      </c>
      <c r="N40" s="25">
        <f t="shared" si="2"/>
        <v>5</v>
      </c>
      <c r="O40" s="25">
        <f t="shared" si="3"/>
        <v>5</v>
      </c>
      <c r="P40" s="25">
        <f t="shared" si="4"/>
        <v>5</v>
      </c>
      <c r="Q40" s="25">
        <f t="shared" si="5"/>
        <v>5</v>
      </c>
      <c r="R40" s="25">
        <f t="shared" si="6"/>
        <v>5</v>
      </c>
      <c r="S40" s="26">
        <v>4.2300000000000004</v>
      </c>
      <c r="T40" s="26">
        <v>4.43</v>
      </c>
      <c r="U40" s="26">
        <f t="shared" si="7"/>
        <v>38.660000000000004</v>
      </c>
      <c r="V40">
        <f>(Tabla1[[#This Row],[Total]]/$U$53)*1000</f>
        <v>23.816361518842619</v>
      </c>
      <c r="W40" s="26">
        <f>ROUND(Tabla1[[#This Row],[Normalización]],0)</f>
        <v>24</v>
      </c>
    </row>
    <row r="41" spans="1:23" ht="43.2" x14ac:dyDescent="0.3">
      <c r="A41" s="22">
        <v>40</v>
      </c>
      <c r="B41" s="23" t="s">
        <v>181</v>
      </c>
      <c r="C41" s="24" t="s">
        <v>155</v>
      </c>
      <c r="D41" s="23" t="s">
        <v>156</v>
      </c>
      <c r="E41" s="23" t="s">
        <v>184</v>
      </c>
      <c r="F41" s="20" t="s">
        <v>258</v>
      </c>
      <c r="G41" s="23" t="s">
        <v>215</v>
      </c>
      <c r="H41" s="23" t="s">
        <v>215</v>
      </c>
      <c r="I41" s="23" t="s">
        <v>55</v>
      </c>
      <c r="J41" s="23" t="s">
        <v>215</v>
      </c>
      <c r="K41" s="23" t="s">
        <v>215</v>
      </c>
      <c r="L41" s="23" t="s">
        <v>215</v>
      </c>
      <c r="M41" s="25">
        <f t="shared" si="1"/>
        <v>5</v>
      </c>
      <c r="N41" s="25">
        <f t="shared" si="2"/>
        <v>5</v>
      </c>
      <c r="O41" s="25">
        <f t="shared" si="3"/>
        <v>1</v>
      </c>
      <c r="P41" s="25">
        <f t="shared" si="4"/>
        <v>5</v>
      </c>
      <c r="Q41" s="25">
        <f t="shared" si="5"/>
        <v>5</v>
      </c>
      <c r="R41" s="25">
        <f t="shared" si="6"/>
        <v>5</v>
      </c>
      <c r="S41" s="26">
        <v>4.2300000000000004</v>
      </c>
      <c r="T41" s="27">
        <v>4.2300000000000004</v>
      </c>
      <c r="U41" s="26">
        <f t="shared" si="7"/>
        <v>34.46</v>
      </c>
      <c r="V41">
        <f>(Tabla1[[#This Row],[Total]]/$U$53)*1000</f>
        <v>21.228965802879372</v>
      </c>
      <c r="W41" s="26">
        <f>ROUND(Tabla1[[#This Row],[Normalización]],0)</f>
        <v>21</v>
      </c>
    </row>
    <row r="42" spans="1:23" ht="43.2" x14ac:dyDescent="0.3">
      <c r="A42" s="22">
        <v>41</v>
      </c>
      <c r="B42" s="23" t="s">
        <v>181</v>
      </c>
      <c r="C42" s="24" t="s">
        <v>131</v>
      </c>
      <c r="D42" s="23" t="s">
        <v>185</v>
      </c>
      <c r="E42" s="23" t="s">
        <v>186</v>
      </c>
      <c r="F42" s="20" t="s">
        <v>259</v>
      </c>
      <c r="G42" s="23" t="s">
        <v>215</v>
      </c>
      <c r="H42" s="23" t="s">
        <v>215</v>
      </c>
      <c r="I42" s="23" t="s">
        <v>55</v>
      </c>
      <c r="J42" s="23" t="s">
        <v>215</v>
      </c>
      <c r="K42" s="23" t="s">
        <v>215</v>
      </c>
      <c r="L42" s="23" t="s">
        <v>215</v>
      </c>
      <c r="M42" s="25">
        <f t="shared" si="1"/>
        <v>5</v>
      </c>
      <c r="N42" s="25">
        <f t="shared" si="2"/>
        <v>5</v>
      </c>
      <c r="O42" s="25">
        <f t="shared" si="3"/>
        <v>1</v>
      </c>
      <c r="P42" s="25">
        <f t="shared" si="4"/>
        <v>5</v>
      </c>
      <c r="Q42" s="25">
        <f t="shared" si="5"/>
        <v>5</v>
      </c>
      <c r="R42" s="25">
        <f t="shared" si="6"/>
        <v>5</v>
      </c>
      <c r="S42" s="26">
        <v>4.2300000000000004</v>
      </c>
      <c r="T42" s="26">
        <v>4.25</v>
      </c>
      <c r="U42" s="26">
        <f t="shared" si="7"/>
        <v>34.480000000000004</v>
      </c>
      <c r="V42">
        <f>(Tabla1[[#This Row],[Total]]/$U$53)*1000</f>
        <v>21.241286734860154</v>
      </c>
      <c r="W42" s="26">
        <f>ROUND(Tabla1[[#This Row],[Normalización]],0)</f>
        <v>21</v>
      </c>
    </row>
    <row r="43" spans="1:23" ht="43.2" x14ac:dyDescent="0.3">
      <c r="A43" s="22">
        <v>42</v>
      </c>
      <c r="B43" s="23" t="s">
        <v>181</v>
      </c>
      <c r="C43" s="24" t="s">
        <v>131</v>
      </c>
      <c r="D43" s="23" t="s">
        <v>187</v>
      </c>
      <c r="E43" s="23" t="s">
        <v>188</v>
      </c>
      <c r="F43" s="20" t="s">
        <v>260</v>
      </c>
      <c r="G43" s="23" t="s">
        <v>215</v>
      </c>
      <c r="H43" s="23" t="s">
        <v>215</v>
      </c>
      <c r="I43" s="23" t="s">
        <v>55</v>
      </c>
      <c r="J43" s="23" t="s">
        <v>215</v>
      </c>
      <c r="K43" s="23" t="s">
        <v>215</v>
      </c>
      <c r="L43" s="23" t="s">
        <v>215</v>
      </c>
      <c r="M43" s="25">
        <f t="shared" si="1"/>
        <v>5</v>
      </c>
      <c r="N43" s="25">
        <f t="shared" si="2"/>
        <v>5</v>
      </c>
      <c r="O43" s="25">
        <f t="shared" si="3"/>
        <v>1</v>
      </c>
      <c r="P43" s="25">
        <f t="shared" si="4"/>
        <v>5</v>
      </c>
      <c r="Q43" s="25">
        <f t="shared" si="5"/>
        <v>5</v>
      </c>
      <c r="R43" s="25">
        <f t="shared" si="6"/>
        <v>5</v>
      </c>
      <c r="S43" s="26">
        <v>4.2300000000000004</v>
      </c>
      <c r="T43" s="26">
        <v>4.32</v>
      </c>
      <c r="U43" s="26">
        <f t="shared" si="7"/>
        <v>34.549999999999997</v>
      </c>
      <c r="V43">
        <f>(Tabla1[[#This Row],[Total]]/$U$53)*1000</f>
        <v>21.284409996792871</v>
      </c>
      <c r="W43" s="26">
        <f>ROUND(Tabla1[[#This Row],[Normalización]],0)</f>
        <v>21</v>
      </c>
    </row>
    <row r="44" spans="1:23" ht="43.2" x14ac:dyDescent="0.3">
      <c r="A44" s="22">
        <v>43</v>
      </c>
      <c r="B44" s="23" t="s">
        <v>181</v>
      </c>
      <c r="C44" s="24" t="s">
        <v>131</v>
      </c>
      <c r="D44" s="23" t="s">
        <v>185</v>
      </c>
      <c r="E44" s="23" t="s">
        <v>189</v>
      </c>
      <c r="F44" s="20" t="s">
        <v>261</v>
      </c>
      <c r="G44" s="23" t="s">
        <v>215</v>
      </c>
      <c r="H44" s="23" t="s">
        <v>215</v>
      </c>
      <c r="I44" s="23" t="s">
        <v>55</v>
      </c>
      <c r="J44" s="23" t="s">
        <v>215</v>
      </c>
      <c r="K44" s="23" t="s">
        <v>215</v>
      </c>
      <c r="L44" s="23" t="s">
        <v>215</v>
      </c>
      <c r="M44" s="25">
        <f t="shared" si="1"/>
        <v>5</v>
      </c>
      <c r="N44" s="25">
        <f t="shared" si="2"/>
        <v>5</v>
      </c>
      <c r="O44" s="25">
        <f t="shared" si="3"/>
        <v>1</v>
      </c>
      <c r="P44" s="25">
        <f t="shared" si="4"/>
        <v>5</v>
      </c>
      <c r="Q44" s="25">
        <f t="shared" si="5"/>
        <v>5</v>
      </c>
      <c r="R44" s="25">
        <f t="shared" si="6"/>
        <v>5</v>
      </c>
      <c r="S44" s="26">
        <v>4.2300000000000004</v>
      </c>
      <c r="T44" s="26">
        <v>4.25</v>
      </c>
      <c r="U44" s="26">
        <f t="shared" si="7"/>
        <v>34.480000000000004</v>
      </c>
      <c r="V44">
        <f>(Tabla1[[#This Row],[Total]]/$U$53)*1000</f>
        <v>21.241286734860154</v>
      </c>
      <c r="W44" s="26">
        <f>ROUND(Tabla1[[#This Row],[Normalización]],0)</f>
        <v>21</v>
      </c>
    </row>
    <row r="45" spans="1:23" ht="57.6" x14ac:dyDescent="0.3">
      <c r="A45" s="22">
        <v>44</v>
      </c>
      <c r="B45" s="23" t="s">
        <v>190</v>
      </c>
      <c r="C45" s="24" t="s">
        <v>121</v>
      </c>
      <c r="D45" s="23" t="s">
        <v>191</v>
      </c>
      <c r="E45" s="23" t="s">
        <v>192</v>
      </c>
      <c r="F45" s="20" t="s">
        <v>262</v>
      </c>
      <c r="G45" s="23" t="s">
        <v>215</v>
      </c>
      <c r="H45" s="23" t="s">
        <v>215</v>
      </c>
      <c r="I45" s="23" t="s">
        <v>215</v>
      </c>
      <c r="J45" s="23" t="s">
        <v>215</v>
      </c>
      <c r="K45" s="23" t="s">
        <v>215</v>
      </c>
      <c r="L45" s="23" t="s">
        <v>215</v>
      </c>
      <c r="M45" s="25">
        <f t="shared" si="1"/>
        <v>5</v>
      </c>
      <c r="N45" s="25">
        <f t="shared" si="2"/>
        <v>5</v>
      </c>
      <c r="O45" s="25">
        <f t="shared" si="3"/>
        <v>5</v>
      </c>
      <c r="P45" s="25">
        <f t="shared" si="4"/>
        <v>5</v>
      </c>
      <c r="Q45" s="25">
        <f t="shared" si="5"/>
        <v>5</v>
      </c>
      <c r="R45" s="25">
        <f t="shared" si="6"/>
        <v>5</v>
      </c>
      <c r="S45" s="26">
        <v>4.12</v>
      </c>
      <c r="T45" s="26">
        <v>4.34</v>
      </c>
      <c r="U45" s="26">
        <f t="shared" si="7"/>
        <v>38.459999999999994</v>
      </c>
      <c r="V45">
        <f>(Tabla1[[#This Row],[Total]]/$U$53)*1000</f>
        <v>23.693152199034838</v>
      </c>
      <c r="W45" s="26">
        <f>ROUND(Tabla1[[#This Row],[Normalización]],0)</f>
        <v>24</v>
      </c>
    </row>
    <row r="46" spans="1:23" ht="72" x14ac:dyDescent="0.3">
      <c r="A46" s="22">
        <v>45</v>
      </c>
      <c r="B46" s="23" t="s">
        <v>190</v>
      </c>
      <c r="C46" s="24" t="s">
        <v>121</v>
      </c>
      <c r="D46" s="23" t="s">
        <v>191</v>
      </c>
      <c r="E46" s="23" t="s">
        <v>193</v>
      </c>
      <c r="F46" s="20" t="s">
        <v>263</v>
      </c>
      <c r="G46" s="23" t="s">
        <v>215</v>
      </c>
      <c r="H46" s="23" t="s">
        <v>215</v>
      </c>
      <c r="I46" s="23" t="s">
        <v>215</v>
      </c>
      <c r="J46" s="23" t="s">
        <v>215</v>
      </c>
      <c r="K46" s="23" t="s">
        <v>215</v>
      </c>
      <c r="L46" s="23" t="s">
        <v>215</v>
      </c>
      <c r="M46" s="25">
        <f t="shared" si="1"/>
        <v>5</v>
      </c>
      <c r="N46" s="25">
        <f t="shared" si="2"/>
        <v>5</v>
      </c>
      <c r="O46" s="25">
        <f t="shared" si="3"/>
        <v>5</v>
      </c>
      <c r="P46" s="25">
        <f t="shared" si="4"/>
        <v>5</v>
      </c>
      <c r="Q46" s="25">
        <f t="shared" si="5"/>
        <v>5</v>
      </c>
      <c r="R46" s="25">
        <f t="shared" si="6"/>
        <v>5</v>
      </c>
      <c r="S46" s="26">
        <v>4.12</v>
      </c>
      <c r="T46" s="27">
        <v>4.12</v>
      </c>
      <c r="U46" s="26">
        <f t="shared" si="7"/>
        <v>38.239999999999995</v>
      </c>
      <c r="V46">
        <f>(Tabla1[[#This Row],[Total]]/$U$53)*1000</f>
        <v>23.55762194724629</v>
      </c>
      <c r="W46" s="26">
        <f>ROUND(Tabla1[[#This Row],[Normalización]],0)</f>
        <v>24</v>
      </c>
    </row>
    <row r="47" spans="1:23" ht="28.8" x14ac:dyDescent="0.3">
      <c r="A47" s="22">
        <v>46</v>
      </c>
      <c r="B47" s="23" t="s">
        <v>190</v>
      </c>
      <c r="C47" s="24" t="s">
        <v>121</v>
      </c>
      <c r="D47" s="23" t="s">
        <v>194</v>
      </c>
      <c r="E47" s="23" t="s">
        <v>195</v>
      </c>
      <c r="F47" s="20" t="s">
        <v>264</v>
      </c>
      <c r="G47" s="23" t="s">
        <v>215</v>
      </c>
      <c r="H47" s="23" t="s">
        <v>215</v>
      </c>
      <c r="I47" s="23" t="s">
        <v>215</v>
      </c>
      <c r="J47" s="23" t="s">
        <v>215</v>
      </c>
      <c r="K47" s="23" t="s">
        <v>55</v>
      </c>
      <c r="L47" s="23" t="s">
        <v>215</v>
      </c>
      <c r="M47" s="25">
        <f t="shared" si="1"/>
        <v>5</v>
      </c>
      <c r="N47" s="25">
        <f t="shared" si="2"/>
        <v>5</v>
      </c>
      <c r="O47" s="25">
        <f t="shared" si="3"/>
        <v>5</v>
      </c>
      <c r="P47" s="25">
        <f t="shared" si="4"/>
        <v>5</v>
      </c>
      <c r="Q47" s="25">
        <f t="shared" si="5"/>
        <v>1</v>
      </c>
      <c r="R47" s="25">
        <f t="shared" si="6"/>
        <v>5</v>
      </c>
      <c r="S47" s="26">
        <v>4.12</v>
      </c>
      <c r="T47" s="26">
        <v>4.43</v>
      </c>
      <c r="U47" s="26">
        <f t="shared" si="7"/>
        <v>34.549999999999997</v>
      </c>
      <c r="V47">
        <f>(Tabla1[[#This Row],[Total]]/$U$53)*1000</f>
        <v>21.284409996792871</v>
      </c>
      <c r="W47" s="26">
        <f>ROUND(Tabla1[[#This Row],[Normalización]],0)</f>
        <v>21</v>
      </c>
    </row>
    <row r="48" spans="1:23" ht="43.2" x14ac:dyDescent="0.3">
      <c r="A48" s="22">
        <v>47</v>
      </c>
      <c r="B48" s="23" t="s">
        <v>190</v>
      </c>
      <c r="C48" s="24" t="s">
        <v>125</v>
      </c>
      <c r="D48" s="23" t="s">
        <v>196</v>
      </c>
      <c r="E48" s="23" t="s">
        <v>197</v>
      </c>
      <c r="F48" s="20" t="s">
        <v>265</v>
      </c>
      <c r="G48" s="23" t="s">
        <v>215</v>
      </c>
      <c r="H48" s="23" t="s">
        <v>55</v>
      </c>
      <c r="I48" s="23" t="s">
        <v>215</v>
      </c>
      <c r="J48" s="23" t="s">
        <v>55</v>
      </c>
      <c r="K48" s="23" t="s">
        <v>55</v>
      </c>
      <c r="L48" s="23" t="s">
        <v>55</v>
      </c>
      <c r="M48" s="25">
        <f t="shared" si="1"/>
        <v>5</v>
      </c>
      <c r="N48" s="25">
        <f t="shared" si="2"/>
        <v>1</v>
      </c>
      <c r="O48" s="25">
        <f t="shared" si="3"/>
        <v>5</v>
      </c>
      <c r="P48" s="25">
        <f t="shared" si="4"/>
        <v>1</v>
      </c>
      <c r="Q48" s="25">
        <f t="shared" si="5"/>
        <v>1</v>
      </c>
      <c r="R48" s="25">
        <f t="shared" si="6"/>
        <v>1</v>
      </c>
      <c r="S48" s="26">
        <v>4.12</v>
      </c>
      <c r="T48" s="26">
        <v>4.57</v>
      </c>
      <c r="U48" s="26">
        <f t="shared" si="7"/>
        <v>22.69</v>
      </c>
      <c r="V48">
        <f>(Tabla1[[#This Row],[Total]]/$U$53)*1000</f>
        <v>13.978097332191904</v>
      </c>
      <c r="W48" s="26">
        <f>ROUND(Tabla1[[#This Row],[Normalización]],0)</f>
        <v>14</v>
      </c>
    </row>
    <row r="49" spans="1:23" ht="43.2" x14ac:dyDescent="0.3">
      <c r="A49" s="22">
        <v>48</v>
      </c>
      <c r="B49" s="23" t="s">
        <v>198</v>
      </c>
      <c r="C49" s="24" t="s">
        <v>131</v>
      </c>
      <c r="D49" s="23" t="s">
        <v>147</v>
      </c>
      <c r="E49" s="23" t="s">
        <v>199</v>
      </c>
      <c r="F49" s="20" t="s">
        <v>266</v>
      </c>
      <c r="G49" s="23" t="s">
        <v>215</v>
      </c>
      <c r="H49" s="23" t="s">
        <v>215</v>
      </c>
      <c r="I49" s="23" t="s">
        <v>215</v>
      </c>
      <c r="J49" s="23" t="s">
        <v>215</v>
      </c>
      <c r="K49" s="23" t="s">
        <v>215</v>
      </c>
      <c r="L49" s="23" t="s">
        <v>215</v>
      </c>
      <c r="M49" s="25">
        <f t="shared" si="1"/>
        <v>5</v>
      </c>
      <c r="N49" s="25">
        <f t="shared" si="2"/>
        <v>5</v>
      </c>
      <c r="O49" s="25">
        <f t="shared" si="3"/>
        <v>5</v>
      </c>
      <c r="P49" s="25">
        <f t="shared" si="4"/>
        <v>5</v>
      </c>
      <c r="Q49" s="25">
        <f t="shared" si="5"/>
        <v>5</v>
      </c>
      <c r="R49" s="25">
        <f t="shared" si="6"/>
        <v>5</v>
      </c>
      <c r="S49" s="26">
        <v>4.3703703703703702</v>
      </c>
      <c r="T49" s="26">
        <v>4.5517241379310347</v>
      </c>
      <c r="U49" s="26">
        <f t="shared" si="7"/>
        <v>38.922094508301399</v>
      </c>
      <c r="V49">
        <f>(Tabla1[[#This Row],[Total]]/$U$53)*1000</f>
        <v>23.977823949308458</v>
      </c>
      <c r="W49" s="26">
        <f>ROUND(Tabla1[[#This Row],[Normalización]],0)</f>
        <v>24</v>
      </c>
    </row>
    <row r="50" spans="1:23" ht="43.2" x14ac:dyDescent="0.3">
      <c r="A50" s="22">
        <v>49</v>
      </c>
      <c r="B50" s="23" t="s">
        <v>198</v>
      </c>
      <c r="C50" s="24" t="s">
        <v>131</v>
      </c>
      <c r="D50" s="23" t="s">
        <v>147</v>
      </c>
      <c r="E50" s="23" t="s">
        <v>200</v>
      </c>
      <c r="F50" s="20" t="s">
        <v>267</v>
      </c>
      <c r="G50" s="23" t="s">
        <v>215</v>
      </c>
      <c r="H50" s="23" t="s">
        <v>215</v>
      </c>
      <c r="I50" s="23" t="s">
        <v>215</v>
      </c>
      <c r="J50" s="23" t="s">
        <v>55</v>
      </c>
      <c r="K50" s="23" t="s">
        <v>215</v>
      </c>
      <c r="L50" s="23" t="s">
        <v>215</v>
      </c>
      <c r="M50" s="25">
        <f t="shared" si="1"/>
        <v>5</v>
      </c>
      <c r="N50" s="25">
        <f t="shared" si="2"/>
        <v>5</v>
      </c>
      <c r="O50" s="25">
        <f t="shared" si="3"/>
        <v>5</v>
      </c>
      <c r="P50" s="25">
        <f t="shared" si="4"/>
        <v>1</v>
      </c>
      <c r="Q50" s="25">
        <f t="shared" si="5"/>
        <v>5</v>
      </c>
      <c r="R50" s="25">
        <f t="shared" si="6"/>
        <v>5</v>
      </c>
      <c r="S50" s="26">
        <v>4.3703703703703702</v>
      </c>
      <c r="T50" s="26">
        <v>4.5862068965517242</v>
      </c>
      <c r="U50" s="26">
        <f t="shared" si="7"/>
        <v>34.956577266922096</v>
      </c>
      <c r="V50">
        <f>(Tabla1[[#This Row],[Total]]/$U$53)*1000</f>
        <v>21.53488053932675</v>
      </c>
      <c r="W50" s="26">
        <f>ROUND(Tabla1[[#This Row],[Normalización]],0)</f>
        <v>22</v>
      </c>
    </row>
    <row r="51" spans="1:23" ht="43.2" x14ac:dyDescent="0.3">
      <c r="A51" s="22">
        <v>50</v>
      </c>
      <c r="B51" s="23" t="s">
        <v>198</v>
      </c>
      <c r="C51" s="24" t="s">
        <v>125</v>
      </c>
      <c r="D51" s="23" t="s">
        <v>142</v>
      </c>
      <c r="E51" s="23" t="s">
        <v>201</v>
      </c>
      <c r="F51" s="20" t="s">
        <v>268</v>
      </c>
      <c r="G51" s="23" t="s">
        <v>215</v>
      </c>
      <c r="H51" s="23" t="s">
        <v>215</v>
      </c>
      <c r="I51" s="23" t="s">
        <v>215</v>
      </c>
      <c r="J51" s="23" t="s">
        <v>215</v>
      </c>
      <c r="K51" s="23" t="s">
        <v>215</v>
      </c>
      <c r="L51" s="23" t="s">
        <v>215</v>
      </c>
      <c r="M51" s="25">
        <f t="shared" si="1"/>
        <v>5</v>
      </c>
      <c r="N51" s="25">
        <f t="shared" si="2"/>
        <v>5</v>
      </c>
      <c r="O51" s="25">
        <f t="shared" si="3"/>
        <v>5</v>
      </c>
      <c r="P51" s="25">
        <f t="shared" si="4"/>
        <v>5</v>
      </c>
      <c r="Q51" s="25">
        <f t="shared" si="5"/>
        <v>5</v>
      </c>
      <c r="R51" s="25">
        <f t="shared" si="6"/>
        <v>5</v>
      </c>
      <c r="S51" s="26">
        <v>4.3703703703703702</v>
      </c>
      <c r="T51" s="26">
        <v>4.5862068965517242</v>
      </c>
      <c r="U51" s="26">
        <f t="shared" si="7"/>
        <v>38.956577266922089</v>
      </c>
      <c r="V51">
        <f>(Tabla1[[#This Row],[Total]]/$U$53)*1000</f>
        <v>23.999066935482212</v>
      </c>
      <c r="W51" s="26">
        <f>ROUND(Tabla1[[#This Row],[Normalización]],0)</f>
        <v>24</v>
      </c>
    </row>
    <row r="52" spans="1:23" ht="43.2" x14ac:dyDescent="0.3">
      <c r="A52" s="22">
        <v>51</v>
      </c>
      <c r="B52" s="23" t="s">
        <v>198</v>
      </c>
      <c r="C52" s="24" t="s">
        <v>125</v>
      </c>
      <c r="D52" s="23" t="s">
        <v>202</v>
      </c>
      <c r="E52" s="23" t="s">
        <v>203</v>
      </c>
      <c r="F52" s="20" t="s">
        <v>269</v>
      </c>
      <c r="G52" s="23" t="s">
        <v>215</v>
      </c>
      <c r="H52" s="23" t="s">
        <v>215</v>
      </c>
      <c r="I52" s="23" t="s">
        <v>215</v>
      </c>
      <c r="J52" s="23" t="s">
        <v>55</v>
      </c>
      <c r="K52" s="23" t="s">
        <v>215</v>
      </c>
      <c r="L52" s="23" t="s">
        <v>215</v>
      </c>
      <c r="M52" s="25">
        <f t="shared" si="1"/>
        <v>5</v>
      </c>
      <c r="N52" s="25">
        <f t="shared" si="2"/>
        <v>5</v>
      </c>
      <c r="O52" s="25">
        <f t="shared" si="3"/>
        <v>5</v>
      </c>
      <c r="P52" s="25">
        <f t="shared" si="4"/>
        <v>1</v>
      </c>
      <c r="Q52" s="25">
        <f t="shared" si="5"/>
        <v>5</v>
      </c>
      <c r="R52" s="25">
        <f t="shared" si="6"/>
        <v>5</v>
      </c>
      <c r="S52" s="26">
        <v>4.3703703703703702</v>
      </c>
      <c r="T52" s="26">
        <v>4.1724137931034484</v>
      </c>
      <c r="U52" s="26">
        <f t="shared" si="7"/>
        <v>34.542784163473819</v>
      </c>
      <c r="V52">
        <f>(Tabla1[[#This Row],[Total]]/$U$53)*1000</f>
        <v>21.279964705241696</v>
      </c>
      <c r="W52" s="26">
        <f>ROUND(Tabla1[[#This Row],[Normalización]],0)</f>
        <v>21</v>
      </c>
    </row>
    <row r="53" spans="1:23" x14ac:dyDescent="0.3">
      <c r="U53" s="30">
        <f>SUM(U2:U52)</f>
        <v>1623.2538278113409</v>
      </c>
      <c r="V53" s="30">
        <f>SUM(V2:V52)</f>
        <v>1000</v>
      </c>
      <c r="W53" s="30">
        <f>SUBTOTAL(109,Tabla1[Aproximación a la unidad])</f>
        <v>1000</v>
      </c>
    </row>
    <row r="54" spans="1:23" x14ac:dyDescent="0.3">
      <c r="V54" s="31"/>
    </row>
  </sheetData>
  <conditionalFormatting sqref="M2:T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allowBlank="1" showInputMessage="1" showErrorMessage="1" sqref="G2:L52" xr:uid="{F7120199-B675-45EA-B464-3422B4273387}">
      <formula1>"Si,No"</formula1>
    </dataValidation>
  </dataValidations>
  <hyperlinks>
    <hyperlink ref="F2" r:id="rId1" display="../../../:w:/g/personal/ancasallas_minenergia_gov_co/EZlPLBjzWCdGi1JX_D2NUaUBIRpxWJlCZYtTNlIUDkJySA?e=LcKHxM" xr:uid="{A55A3BBE-303B-40B2-85D8-E9521DD018A8}"/>
    <hyperlink ref="F4" r:id="rId2" display="../../../:w:/g/personal/ancasallas_minenergia_gov_co/EbAsw0mP2jhIqLTPhaaTlyABnIxNDzNgluLocy0OhzAEdg?e=0FvJdL" xr:uid="{E9D01C46-7607-4FC1-A67B-242EB0C01202}"/>
    <hyperlink ref="F3" r:id="rId3" display="../../../:w:/g/personal/ancasallas_minenergia_gov_co/ES_qUrmuoa9FiDGzKyvAF-4BxmIUwaKsl6NWF_tlaF9aaQ?e=nYcR2x" xr:uid="{9FBBC847-B1E9-4959-AEC2-3C0C73BB7098}"/>
    <hyperlink ref="F5" r:id="rId4" display="../../../:w:/g/personal/ancasallas_minenergia_gov_co/Eaix1W_YL1hGi_QQF3ZbtMgBvg_Xe5xKYRQGQZOXJ1mi7Q?e=Bwo8qe" xr:uid="{AC56C001-5F1B-45FA-857F-4A02CBC5DBC8}"/>
    <hyperlink ref="F6" r:id="rId5" display="../../../:w:/g/personal/ancasallas_minenergia_gov_co/EcRtuS84IypJrYJLY9sYVRkBMBGCIrG-ApRwpZDhtX1L6g?e=ljOmZo" xr:uid="{F9936DFA-99B4-453F-91E7-57764173A418}"/>
    <hyperlink ref="F7" r:id="rId6" display="../../../:w:/g/personal/ancasallas_minenergia_gov_co/EV0og24SjdpHot55opqbQWAB5gSy8v8QWCnPOagHMIcb6A?e=MBOfl0" xr:uid="{266399F4-D4C4-466B-B7FF-D30A6BB7F69D}"/>
    <hyperlink ref="F8" r:id="rId7" display="../../../:w:/g/personal/ancasallas_minenergia_gov_co/EblkRacF9MtMgQtSlnUqFOEBy4JL05bZqDpnas-9_2HNkQ?e=EUcZMH" xr:uid="{143034AF-B08E-4F0B-8B52-5D4229CF5ADF}"/>
    <hyperlink ref="F9" r:id="rId8" display="../../../:w:/r/personal/ancasallas_minenergia_gov_co/Documents/Datos adjuntos/08. Acceso a justicia.docx?d=w9e44ee6992624f1f9301875c4a32f0b1&amp;csf=1&amp;web=1&amp;e=VSTwhE" xr:uid="{39579525-6D56-435F-99CD-903EA7D575D4}"/>
    <hyperlink ref="F10" r:id="rId9" display="../../../:w:/g/personal/ancasallas_minenergia_gov_co/Ecj2SyRzmkJOugJo5NOMMQABXjmDJSZo7NAs6oNfLI6ZNA?e=ueVDn5" xr:uid="{8936E5B5-A11A-4B6E-8867-D52FF87C6B68}"/>
    <hyperlink ref="F11" r:id="rId10" display="../../../:w:/g/personal/ancasallas_minenergia_gov_co/EbfmEWEiA65EjWvxgytaw_wB789HIyWqsKV6yL6QrdkCEQ?e=y9GdcA" xr:uid="{43E9DBCB-82FE-4AD7-B9DB-BB2F98A57F19}"/>
    <hyperlink ref="F12" r:id="rId11" display="../../../:w:/g/personal/ancasallas_minenergia_gov_co/ESfD3RZTZKZGpMODy4GP-QUBDgfqghB9lB4gUnywXv5axg?e=QDjwDV" xr:uid="{C0F2074B-9FAE-4266-B289-7FBE6DDE4E20}"/>
    <hyperlink ref="F13" r:id="rId12" display="../../../:w:/g/personal/ancasallas_minenergia_gov_co/Ea2grvVu4RRMu8LtdJpmRMQBnNr9pJtJQKhDQGgtzMQOBQ?e=UwIs9q" xr:uid="{D30C7611-B6DE-46DB-9DA4-AB58E7ECCF85}"/>
    <hyperlink ref="F14" r:id="rId13" display="../../../:w:/g/personal/ancasallas_minenergia_gov_co/Ecwkh8S5onpEkpS7cu9jgn0BQur2n5n6L3WnVPcORco1Nw?e=iA5Wi7" xr:uid="{C207A7A3-A0DB-423B-B0FC-47754056FF87}"/>
    <hyperlink ref="F15" r:id="rId14" display="../../../:w:/g/personal/ancasallas_minenergia_gov_co/EUhNyaPgo_NMi_s9LznOvfsB5A9_a8ENewJb4OIQ02TJ3A?e=WVkHbI" xr:uid="{E551AEB4-BAC2-4A4A-980A-93908771DC01}"/>
    <hyperlink ref="F16" r:id="rId15" display="../../../:w:/g/personal/ancasallas_minenergia_gov_co/ETcb2Q1qty9Jky20maLDyhoB1A3WzMQ4uMT9WqFshzaKow?e=PiScWL" xr:uid="{9E090DA9-3D53-4CA5-8300-2D0AE472EDDF}"/>
    <hyperlink ref="F17" r:id="rId16" display="../../../:w:/g/personal/ancasallas_minenergia_gov_co/EZMBNKg_5ghGm1VkvaJISZkBAAZO8mGMcF1XH_xuLVH0HA?e=zBopSg" xr:uid="{70CDF1C8-BF19-451E-9105-ED81D2954B85}"/>
    <hyperlink ref="F18" r:id="rId17" display="../../../:w:/g/personal/ancasallas_minenergia_gov_co/EVOZnWD8PwtDpIRo5glY7FwBHE8BicZFly4vNu-SgraG6A?e=H4c7cA" xr:uid="{76A00186-7401-4E10-9A7E-1E9D2E7C9119}"/>
    <hyperlink ref="F19" r:id="rId18" display="../../../:w:/g/personal/ancasallas_minenergia_gov_co/Eek38ViGlV5DtkjlyfSA1bkBUSDyHXOcTjfY5Ja9admIiQ?e=WnWZY0" xr:uid="{8CC4F34F-43C3-4077-8A98-25392E0B393D}"/>
    <hyperlink ref="F20" r:id="rId19" display="../../../:w:/g/personal/ancasallas_minenergia_gov_co/EXYjY_YoO59Lkn1x-p4Rj54B06fgui-wRqFBSz8Me1FkPA?e=z7ILbi" xr:uid="{1F665979-1B5B-4DC2-AC95-D0589B84C442}"/>
    <hyperlink ref="F21" r:id="rId20" display="../../../:w:/g/personal/ancasallas_minenergia_gov_co/Eeq9eN-upd5Iq90tXp4ylmcBcd6G8Z8V8q2wECwYhGspzw?e=hxsGoM" xr:uid="{8A5F96BF-FFFB-4BE6-ADDF-9E7FA489A536}"/>
    <hyperlink ref="F22" r:id="rId21" display="../../../:w:/g/personal/ancasallas_minenergia_gov_co/ERH8p9E6R41DltE5UtsmEGEBmHibaBHOBSa6j-81J3Hmxw?e=Gtg0sd" xr:uid="{35D75137-612D-479B-9241-E38244675BFE}"/>
    <hyperlink ref="F23" r:id="rId22" display="../../../:w:/g/personal/ancasallas_minenergia_gov_co/EYIxMjC36CVFp657NCCeI5YB-GuqMcRFujr5N6novSD-8Q?e=qBmZs7" xr:uid="{0DCB1713-5AAF-4734-81D8-6AD5376FB0BD}"/>
    <hyperlink ref="F24" r:id="rId23" display="../../../:w:/g/personal/ancasallas_minenergia_gov_co/Ea7Y5Z6SOfhDtqsPqN2bUn0BYuRf0ovbkP-D_ew7S4m2Ew?e=5XFhFM" xr:uid="{9DF9E4E5-1379-4CCF-93FD-4C36B6901560}"/>
    <hyperlink ref="F25" r:id="rId24" display="../../../:w:/g/personal/ancasallas_minenergia_gov_co/EZ583i63RERBiZKOot4r2_oBBIYJLqfH7mxTCxJ_rYmlVA?e=9j9RzP" xr:uid="{231A1F7A-2624-4FF3-BAA3-57E4C3EB9642}"/>
    <hyperlink ref="F26" r:id="rId25" display="../../../:w:/g/personal/ancasallas_minenergia_gov_co/EdxBGkmNrL1KmEGAXL3J884BVUWlOAX_Kp8nEkRTe5RgLQ?e=0IUo9p" xr:uid="{A2BEA86D-98E8-4351-94EC-C3A7FF19F644}"/>
    <hyperlink ref="F27" r:id="rId26" display="../../../:w:/g/personal/ancasallas_minenergia_gov_co/Ecv5sv_cAFZBlAUcK2GP5gIBO1ze_bVGScZyFONkX1HYZQ?e=AIfZui" xr:uid="{B3061E76-31A3-4443-A456-045806AE9146}"/>
    <hyperlink ref="F28" r:id="rId27" display="../../../:w:/g/personal/ancasallas_minenergia_gov_co/ETZjGJiUbBBMjNPVnexL4jIBfPlPay5BFjduLn6LrChWGg?e=d1TPyc" xr:uid="{5CEEE37D-F50C-444D-9D43-9DBC8629DB08}"/>
    <hyperlink ref="F29" r:id="rId28" display="../../../:w:/g/personal/ancasallas_minenergia_gov_co/EVzkTj9D26lCsgEGl8DeHCgB8zS3a3WSqhaarJvCu9Aqtg?e=KrinTP" xr:uid="{E1310A91-0360-40E4-A351-0FF63062F921}"/>
    <hyperlink ref="F30" r:id="rId29" display="../../../:w:/g/personal/ancasallas_minenergia_gov_co/EflF40nsfD1Kjt95Nms5xRkBHkV81JVzlr_BxITkKTq8lw?e=GSSDRR" xr:uid="{EEEC09C0-F796-454E-95C6-4A13B33FD851}"/>
    <hyperlink ref="F31" r:id="rId30" display="../../../:w:/r/personal/ancasallas_minenergia_gov_co/Documents/Datos adjuntos/30. Participaci%C3%B3n de las FNCER en la matriz energ%C3%A9tica el%C3%A9ctrica.docx?d=w267b6f52024e45918cc2a8eb1188b50f&amp;csf=1&amp;web=1&amp;e=aoUWMq" xr:uid="{9028F1B3-EA82-4825-B85C-560F4BAE5FD6}"/>
    <hyperlink ref="F32" r:id="rId31" display="../../../:w:/g/personal/ancasallas_minenergia_gov_co/EYVbjEau9EtBsOzxSA_KHhkBRz_2azcGIBZdqOl-igCmGQ?e=DqfbWo" xr:uid="{8595C1CD-BF7B-4ED6-9A78-31B531F60843}"/>
    <hyperlink ref="F33" r:id="rId32" display="../../../:w:/g/personal/ancasallas_minenergia_gov_co/EXq4DI7sEnhOmV3WPh6Pam0BWf8W3v3IxKVC-7d2YW71iw?e=Yhnc4S" xr:uid="{02634DCB-4F80-4136-A6AA-D18586652B1C}"/>
    <hyperlink ref="F34" r:id="rId33" display="../../../:w:/g/personal/ancasallas_minenergia_gov_co/EfOT6XRnH49IlTW9hWnzR7kBj9EABb21-Bx9gGOkPAcyDg?e=2Ewl2j" xr:uid="{D7DC71D2-4252-4075-9DBD-6258F807D608}"/>
    <hyperlink ref="F35" r:id="rId34" display="../../../:w:/g/personal/ancasallas_minenergia_gov_co/ERl1d1HR9tNHjsGJQsiLaKwB8cl5sIwqB2rjTED5i-1j0Q?e=g8OxRE" xr:uid="{5DA645AF-165F-46E7-B1F0-C192166C8E17}"/>
    <hyperlink ref="F36" r:id="rId35" display="../../../:w:/g/personal/ancasallas_minenergia_gov_co/EeJxMjp-mh9CnqEbaTXYKmwBQj_-lLo3bkjUcwIAi9LpSw?e=PUGyi3" xr:uid="{A044AAB7-7A82-4A61-A366-22027C9511DA}"/>
    <hyperlink ref="F37" r:id="rId36" display="../../../:w:/g/personal/ancasallas_minenergia_gov_co/EZvv6pJhwQxPtUK8uIc_YWYBkxcWK4BUARon_iunubmxFg?e=6ty9z1" xr:uid="{E2706C70-5BC9-4F85-9BF7-B34DAB9FF1F0}"/>
    <hyperlink ref="F38" r:id="rId37" display="../../../:w:/g/personal/ancasallas_minenergia_gov_co/EY2D8D2ivdJMsI9Jxlmn6e8B14LKnOAWuMS3LraL0BXgeg?e=vOW5mM" xr:uid="{D070807D-9869-4B4D-B2B3-72214C00C89A}"/>
    <hyperlink ref="F39" r:id="rId38" display="../../../:w:/g/personal/ancasallas_minenergia_gov_co/EftG30r2n31EnMQ5ymF1qHsBNv_0zbczswrtwZr2_wlpGQ?e=ZiZRtz" xr:uid="{CA3956FE-E15D-4A43-A80F-9E178946E73E}"/>
    <hyperlink ref="F40" r:id="rId39" display="../../../:w:/g/personal/ancasallas_minenergia_gov_co/EZl_Nl6SIY9Fgbo-W1q8MYMBJPvIlYFkHtru7OnKhEDCEA?e=e309QF" xr:uid="{1191133D-789D-4D3C-AB6E-3A10103D59B3}"/>
    <hyperlink ref="F41" r:id="rId40" display="../../../:w:/g/personal/ancasallas_minenergia_gov_co/EdhgYdeKVUpErn6rxRTfCTUB1hkpD_5OAlOyrzG8iW9Z6w?e=8cbfHa" xr:uid="{B12AF2AF-E200-4C37-B31A-709638A2FDB1}"/>
    <hyperlink ref="F42" r:id="rId41" display="../../../:w:/g/personal/ancasallas_minenergia_gov_co/EZwQGvg99dFBhAb09UF2CmYBpAvpBNN8Qh9MRR1qHQkb1g?e=rpBzEW" xr:uid="{F0837A97-614F-42B3-B962-6A6362164B3F}"/>
    <hyperlink ref="F43" r:id="rId42" display="../../../:w:/g/personal/ancasallas_minenergia_gov_co/EdelaFFgqUJMtWW2tMuZeJYB9-_hbTfhfWL8B1hwPdOOwQ?e=rOAsV6" xr:uid="{62F6ED32-9695-411B-81D3-A797B04F9683}"/>
    <hyperlink ref="F44" r:id="rId43" display="../../../:w:/g/personal/ancasallas_minenergia_gov_co/EQmJ8OFz-41Lte5VCBoB5_UB6WatHMnyoLuryNo9RnoKBw?e=KOI66k" xr:uid="{1FC9144A-82B6-489A-B9CD-6FCD5DC9C67D}"/>
    <hyperlink ref="F45" r:id="rId44" display="../../../:w:/g/personal/ancasallas_minenergia_gov_co/EdM0SGU-dINJhOFEpXsrP6MBeRbR-8NscohlQXIfXsE9-Q?e=CMoGKH" xr:uid="{A56135C7-199F-48C6-89B2-F6C10B07ED4A}"/>
    <hyperlink ref="F46" r:id="rId45" display="../../../:w:/g/personal/ancasallas_minenergia_gov_co/EdS2VO4V3T9EmR-c1fDlKBYBURhsMKpYgbGGPE0TJKAcSA?e=d2ZmD9" xr:uid="{962486EB-3FFE-4539-8A4E-9A1C34890CFF}"/>
    <hyperlink ref="F47" r:id="rId46" display="../../../:w:/g/personal/ancasallas_minenergia_gov_co/EYBF0T0n1gFHjznOmU8DGmQBrGp_q3OrLUcBFCekvMKYKQ?e=GTen6g" xr:uid="{A23A3813-CAA2-4AD9-B545-ECE09657A077}"/>
    <hyperlink ref="F48" r:id="rId47" display="../../../:w:/g/personal/ancasallas_minenergia_gov_co/EZ8U4ep3nfRJoBGvL2dCqaUBNB5vXMkRhSYnx3MTO_JZSQ?e=XjvnG9" xr:uid="{F5B05797-AC64-41F1-A2D7-CF6EBAD1D9B5}"/>
    <hyperlink ref="F49" r:id="rId48" display="../../../:w:/g/personal/ancasallas_minenergia_gov_co/EfjYw60eIU9Lt8Z1RMSMWXIB26ryQ0enSaK7bf9xmpFOPw?e=bJRP9V" xr:uid="{393AFE9F-A3B8-43E3-A2F2-3C363AF44D45}"/>
    <hyperlink ref="F50" r:id="rId49" display="../../../:w:/g/personal/ancasallas_minenergia_gov_co/EdBXcC3405VHsVd_NAmz_MQBDoVVFL2UqRTTCkm0npeOLg?e=6Ee6il" xr:uid="{53148022-87F1-4F96-9F92-19485CB40ABD}"/>
    <hyperlink ref="F51" r:id="rId50" display="../../../:w:/g/personal/ancasallas_minenergia_gov_co/EbwTS7m11lNIpDCg2NvVkTcBCEFTuap9csEpsbm8jQtskw?e=RkKCqG" xr:uid="{5EC8D2FA-794F-4D72-A5F0-B65BFD069FBF}"/>
    <hyperlink ref="F52" r:id="rId51" display="../../../:w:/g/personal/ancasallas_minenergia_gov_co/Ef0f1V8EaDxBoxe3mr729-sBXKLziXJsOFH4sZdwwl6_mA?e=CvN6dL" xr:uid="{88F74B29-3E6D-49D1-AA5C-808544269A32}"/>
  </hyperlinks>
  <pageMargins left="0.7" right="0.7" top="0.75" bottom="0.75" header="0.3" footer="0.3"/>
  <tableParts count="1">
    <tablePart r:id="rId5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9D28-A647-4F94-8C90-7E1D0CC9305B}">
  <dimension ref="A3:J113"/>
  <sheetViews>
    <sheetView workbookViewId="0">
      <selection activeCell="E67" sqref="E67"/>
    </sheetView>
  </sheetViews>
  <sheetFormatPr baseColWidth="10" defaultRowHeight="14.4" x14ac:dyDescent="0.3"/>
  <cols>
    <col min="1" max="1" width="31.88671875" bestFit="1" customWidth="1"/>
    <col min="2" max="2" width="32.21875" bestFit="1" customWidth="1"/>
    <col min="3" max="3" width="34.33203125" bestFit="1" customWidth="1"/>
    <col min="4" max="4" width="5.88671875" bestFit="1" customWidth="1"/>
    <col min="5" max="5" width="122.88671875" bestFit="1" customWidth="1"/>
    <col min="6" max="6" width="27.109375" bestFit="1" customWidth="1"/>
    <col min="7" max="7" width="32.77734375" bestFit="1" customWidth="1"/>
    <col min="8" max="8" width="23.5546875" bestFit="1" customWidth="1"/>
    <col min="9" max="9" width="19" customWidth="1"/>
    <col min="10" max="10" width="24.77734375" bestFit="1" customWidth="1"/>
    <col min="11" max="11" width="19.21875" bestFit="1" customWidth="1"/>
    <col min="12" max="12" width="26.33203125" bestFit="1" customWidth="1"/>
    <col min="13" max="13" width="11.88671875" bestFit="1" customWidth="1"/>
  </cols>
  <sheetData>
    <row r="3" spans="1:10" x14ac:dyDescent="0.3">
      <c r="A3" s="48" t="s">
        <v>283</v>
      </c>
      <c r="B3" t="s">
        <v>285</v>
      </c>
      <c r="C3" t="s">
        <v>286</v>
      </c>
      <c r="E3" s="57" t="s">
        <v>287</v>
      </c>
      <c r="F3" s="57" t="s">
        <v>288</v>
      </c>
      <c r="G3" s="57" t="s">
        <v>293</v>
      </c>
      <c r="I3" s="161" t="s">
        <v>292</v>
      </c>
      <c r="J3" s="161"/>
    </row>
    <row r="4" spans="1:10" x14ac:dyDescent="0.3">
      <c r="A4" s="49" t="s">
        <v>130</v>
      </c>
      <c r="B4">
        <v>27</v>
      </c>
      <c r="C4">
        <v>59</v>
      </c>
      <c r="E4" s="54" t="str">
        <f>A4</f>
        <v>Análisis institucional</v>
      </c>
      <c r="F4" s="55">
        <f>GETPIVOTDATA("Suma de Puntaje para la gobernanza",$A$3,"Dimensión","Análisis institucional")/GETPIVOTDATA("Suma de Puntaje máximo del indicador",$A$3,"Dimensión","Análisis institucional")</f>
        <v>0.4576271186440678</v>
      </c>
      <c r="G4" s="56">
        <f>200%-F4</f>
        <v>1.5423728813559321</v>
      </c>
      <c r="I4" s="161" t="s">
        <v>291</v>
      </c>
      <c r="J4" s="161"/>
    </row>
    <row r="5" spans="1:10" x14ac:dyDescent="0.3">
      <c r="A5" s="49" t="s">
        <v>120</v>
      </c>
      <c r="B5">
        <v>42.400000000000006</v>
      </c>
      <c r="C5">
        <v>96</v>
      </c>
      <c r="E5" s="54" t="str">
        <f t="shared" ref="E5:E14" si="0">A5</f>
        <v>Análisis jurídico-normativo</v>
      </c>
      <c r="F5" s="55">
        <f>GETPIVOTDATA("Suma de Puntaje para la gobernanza",$A$3,"Dimensión","Análisis jurídico-normativo")/GETPIVOTDATA("Suma de Puntaje máximo del indicador",$A$3,"Dimensión","Análisis jurídico-normativo")</f>
        <v>0.44166666666666671</v>
      </c>
      <c r="G5" s="56">
        <f t="shared" ref="G5:G14" si="1">200%-F5</f>
        <v>1.5583333333333333</v>
      </c>
      <c r="I5" s="52" t="s">
        <v>290</v>
      </c>
      <c r="J5" s="53">
        <v>1</v>
      </c>
    </row>
    <row r="6" spans="1:10" x14ac:dyDescent="0.3">
      <c r="A6" s="49" t="s">
        <v>146</v>
      </c>
      <c r="B6">
        <v>61.3</v>
      </c>
      <c r="C6">
        <v>91</v>
      </c>
      <c r="E6" s="54" t="str">
        <f t="shared" si="0"/>
        <v>Biofísica y ecológica</v>
      </c>
      <c r="F6" s="55">
        <f>GETPIVOTDATA("Suma de Puntaje para la gobernanza",$A$3,"Dimensión","Biofísica y ecológica")/GETPIVOTDATA("Suma de Puntaje máximo del indicador",$A$3,"Dimensión","Biofísica y ecológica")</f>
        <v>0.67362637362637356</v>
      </c>
      <c r="G6" s="56">
        <f t="shared" si="1"/>
        <v>1.3263736263736265</v>
      </c>
      <c r="I6" s="52" t="s">
        <v>289</v>
      </c>
      <c r="J6" s="53">
        <v>1</v>
      </c>
    </row>
    <row r="7" spans="1:10" x14ac:dyDescent="0.3">
      <c r="A7" s="49" t="s">
        <v>160</v>
      </c>
      <c r="B7">
        <v>49</v>
      </c>
      <c r="C7">
        <v>134</v>
      </c>
      <c r="E7" s="54" t="str">
        <f t="shared" si="0"/>
        <v xml:space="preserve">Cambio climático y gestión del riesgo </v>
      </c>
      <c r="F7" s="55">
        <f>GETPIVOTDATA("Suma de Puntaje para la gobernanza",$A$3,"Dimensión","Cambio climático y gestión del riesgo ")/GETPIVOTDATA("Suma de Puntaje máximo del indicador",$A$3,"Dimensión","Cambio climático y gestión del riesgo ")</f>
        <v>0.36567164179104478</v>
      </c>
      <c r="G7" s="56">
        <f t="shared" si="1"/>
        <v>1.6343283582089552</v>
      </c>
    </row>
    <row r="8" spans="1:10" x14ac:dyDescent="0.3">
      <c r="A8" s="49" t="s">
        <v>175</v>
      </c>
      <c r="B8">
        <v>74.5</v>
      </c>
      <c r="C8">
        <v>82</v>
      </c>
      <c r="E8" s="54" t="str">
        <f t="shared" si="0"/>
        <v>Económica</v>
      </c>
      <c r="F8" s="55">
        <f>GETPIVOTDATA("Suma de Puntaje para la gobernanza",$A$3,"Dimensión","Económica")/GETPIVOTDATA("Suma de Puntaje máximo del indicador",$A$3,"Dimensión","Económica")</f>
        <v>0.90853658536585369</v>
      </c>
      <c r="G8" s="56">
        <f t="shared" si="1"/>
        <v>1.0914634146341462</v>
      </c>
    </row>
    <row r="9" spans="1:10" x14ac:dyDescent="0.3">
      <c r="A9" s="49" t="s">
        <v>153</v>
      </c>
      <c r="B9">
        <v>33</v>
      </c>
      <c r="C9">
        <v>57</v>
      </c>
      <c r="E9" s="54" t="str">
        <f t="shared" si="0"/>
        <v>Gestión y evaluación ambiental</v>
      </c>
      <c r="F9" s="55">
        <f>GETPIVOTDATA("Suma de Puntaje para la gobernanza",$A$3,"Dimensión","Gestión y evaluación ambiental")/GETPIVOTDATA("Suma de Puntaje máximo del indicador",$A$3,"Dimensión","Gestión y evaluación ambiental")</f>
        <v>0.57894736842105265</v>
      </c>
      <c r="G9" s="56">
        <f t="shared" si="1"/>
        <v>1.4210526315789473</v>
      </c>
    </row>
    <row r="10" spans="1:10" x14ac:dyDescent="0.3">
      <c r="A10" s="49" t="s">
        <v>137</v>
      </c>
      <c r="B10">
        <v>77</v>
      </c>
      <c r="C10">
        <v>89</v>
      </c>
      <c r="E10" s="54" t="str">
        <f t="shared" si="0"/>
        <v>Social</v>
      </c>
      <c r="F10" s="55">
        <f>GETPIVOTDATA("Suma de Puntaje para la gobernanza",$A$3,"Dimensión","Social")/GETPIVOTDATA("Suma de Puntaje máximo del indicador",$A$3,"Dimensión","Social")</f>
        <v>0.8651685393258427</v>
      </c>
      <c r="G10" s="56">
        <f t="shared" si="1"/>
        <v>1.1348314606741572</v>
      </c>
    </row>
    <row r="11" spans="1:10" x14ac:dyDescent="0.3">
      <c r="A11" s="49" t="s">
        <v>198</v>
      </c>
      <c r="B11">
        <v>62</v>
      </c>
      <c r="C11">
        <v>91</v>
      </c>
      <c r="E11" s="54" t="str">
        <f t="shared" si="0"/>
        <v>Subsector de energía eléctrica</v>
      </c>
      <c r="F11" s="55">
        <f>GETPIVOTDATA("Suma de Puntaje para la gobernanza",$A$3,"Dimensión","Subsector de energía eléctrica")/GETPIVOTDATA("Suma de Puntaje máximo del indicador",$A$3,"Dimensión","Subsector de energía eléctrica")</f>
        <v>0.68131868131868134</v>
      </c>
      <c r="G11" s="56">
        <f t="shared" si="1"/>
        <v>1.3186813186813187</v>
      </c>
    </row>
    <row r="12" spans="1:10" x14ac:dyDescent="0.3">
      <c r="A12" s="49" t="s">
        <v>181</v>
      </c>
      <c r="B12">
        <v>48</v>
      </c>
      <c r="C12">
        <v>122</v>
      </c>
      <c r="E12" s="54" t="str">
        <f t="shared" si="0"/>
        <v xml:space="preserve">Subsector de hidrocarburos </v>
      </c>
      <c r="F12" s="55">
        <f>GETPIVOTDATA("Suma de Puntaje para la gobernanza",$A$3,"Dimensión","Subsector de hidrocarburos ")/GETPIVOTDATA("Suma de Puntaje máximo del indicador",$A$3,"Dimensión","Subsector de hidrocarburos ")</f>
        <v>0.39344262295081966</v>
      </c>
      <c r="G12" s="56">
        <f t="shared" si="1"/>
        <v>1.6065573770491803</v>
      </c>
    </row>
    <row r="13" spans="1:10" x14ac:dyDescent="0.3">
      <c r="A13" s="49" t="s">
        <v>190</v>
      </c>
      <c r="B13">
        <v>33</v>
      </c>
      <c r="C13">
        <v>83</v>
      </c>
      <c r="E13" s="54" t="str">
        <f t="shared" si="0"/>
        <v xml:space="preserve">Subsector de minería </v>
      </c>
      <c r="F13" s="55">
        <f>GETPIVOTDATA("Suma de Puntaje para la gobernanza",$A$3,"Dimensión","Subsector de minería ")/GETPIVOTDATA("Suma de Puntaje máximo del indicador",$A$3,"Dimensión","Subsector de minería ")</f>
        <v>0.39759036144578314</v>
      </c>
      <c r="G13" s="56">
        <f t="shared" si="1"/>
        <v>1.6024096385542168</v>
      </c>
    </row>
    <row r="14" spans="1:10" x14ac:dyDescent="0.3">
      <c r="A14" s="49" t="s">
        <v>168</v>
      </c>
      <c r="B14">
        <v>64</v>
      </c>
      <c r="C14">
        <v>96</v>
      </c>
      <c r="E14" s="54" t="str">
        <f t="shared" si="0"/>
        <v>Transición energética justa</v>
      </c>
      <c r="F14" s="55">
        <f>GETPIVOTDATA("Suma de Puntaje para la gobernanza",$A$3,"Dimensión","Transición energética justa")/GETPIVOTDATA("Suma de Puntaje máximo del indicador",$A$3,"Dimensión","Transición energética justa")</f>
        <v>0.66666666666666663</v>
      </c>
      <c r="G14" s="56">
        <f t="shared" si="1"/>
        <v>1.3333333333333335</v>
      </c>
    </row>
    <row r="15" spans="1:10" x14ac:dyDescent="0.3">
      <c r="A15" s="49" t="s">
        <v>284</v>
      </c>
      <c r="B15">
        <v>571.20000000000005</v>
      </c>
      <c r="C15">
        <v>1000</v>
      </c>
    </row>
    <row r="21" spans="1:6" x14ac:dyDescent="0.3">
      <c r="A21" s="48" t="s">
        <v>283</v>
      </c>
      <c r="B21" t="s">
        <v>285</v>
      </c>
      <c r="C21" t="s">
        <v>286</v>
      </c>
      <c r="E21" s="58" t="s">
        <v>110</v>
      </c>
      <c r="F21" s="58" t="s">
        <v>295</v>
      </c>
    </row>
    <row r="22" spans="1:6" x14ac:dyDescent="0.3">
      <c r="A22" s="49" t="s">
        <v>131</v>
      </c>
      <c r="B22">
        <v>246.8</v>
      </c>
      <c r="C22" s="31">
        <v>360</v>
      </c>
      <c r="E22" s="60" t="str">
        <f>A22</f>
        <v>Efectividad</v>
      </c>
      <c r="F22" s="61">
        <f>GETPIVOTDATA("Suma de Puntaje para la gobernanza",$A$21,"Objetivos","Efectividad")/GETPIVOTDATA("Suma de Puntaje máximo del indicador",$A$21,"Objetivos","Efectividad")</f>
        <v>0.68555555555555558</v>
      </c>
    </row>
    <row r="23" spans="1:6" x14ac:dyDescent="0.3">
      <c r="A23" s="49" t="s">
        <v>125</v>
      </c>
      <c r="B23">
        <v>154.6</v>
      </c>
      <c r="C23" s="31">
        <v>283</v>
      </c>
      <c r="E23" s="60" t="str">
        <f t="shared" ref="E23:E25" si="2">A23</f>
        <v>Equidad</v>
      </c>
      <c r="F23" s="61">
        <f>GETPIVOTDATA("Suma de Puntaje para la gobernanza",$A$21,"Objetivos","Equidad")/GETPIVOTDATA("Suma de Puntaje máximo del indicador",$A$21,"Objetivos","Equidad")</f>
        <v>0.54628975265017665</v>
      </c>
    </row>
    <row r="24" spans="1:6" x14ac:dyDescent="0.3">
      <c r="A24" s="49" t="s">
        <v>155</v>
      </c>
      <c r="B24">
        <v>127</v>
      </c>
      <c r="C24" s="31">
        <v>253</v>
      </c>
      <c r="E24" s="60" t="str">
        <f t="shared" si="2"/>
        <v>Receptividad</v>
      </c>
      <c r="F24" s="61">
        <f>GETPIVOTDATA("Suma de Puntaje para la gobernanza",$A$21,"Objetivos","Receptividad")/GETPIVOTDATA("Suma de Puntaje máximo del indicador",$A$21,"Objetivos","Receptividad")</f>
        <v>0.50197628458498023</v>
      </c>
    </row>
    <row r="25" spans="1:6" x14ac:dyDescent="0.3">
      <c r="A25" s="49" t="s">
        <v>121</v>
      </c>
      <c r="B25">
        <v>42.8</v>
      </c>
      <c r="C25" s="31">
        <v>104</v>
      </c>
      <c r="E25" s="60" t="str">
        <f t="shared" si="2"/>
        <v>Robustez</v>
      </c>
      <c r="F25" s="61">
        <f>GETPIVOTDATA("Suma de Puntaje para la gobernanza",$A$21,"Objetivos","Robustez")/GETPIVOTDATA("Suma de Puntaje máximo del indicador",$A$21,"Objetivos","Robustez")</f>
        <v>0.41153846153846152</v>
      </c>
    </row>
    <row r="26" spans="1:6" x14ac:dyDescent="0.3">
      <c r="A26" s="49" t="s">
        <v>284</v>
      </c>
      <c r="B26">
        <v>571.19999999999993</v>
      </c>
      <c r="C26" s="31">
        <v>1000</v>
      </c>
    </row>
    <row r="29" spans="1:6" x14ac:dyDescent="0.3">
      <c r="A29" s="48" t="s">
        <v>283</v>
      </c>
      <c r="B29" t="s">
        <v>285</v>
      </c>
      <c r="C29" t="s">
        <v>286</v>
      </c>
    </row>
    <row r="30" spans="1:6" x14ac:dyDescent="0.3">
      <c r="A30" s="49" t="s">
        <v>156</v>
      </c>
      <c r="B30">
        <v>55</v>
      </c>
      <c r="C30" s="31">
        <v>131</v>
      </c>
    </row>
    <row r="31" spans="1:6" x14ac:dyDescent="0.3">
      <c r="A31" s="49" t="s">
        <v>194</v>
      </c>
      <c r="B31">
        <v>6</v>
      </c>
      <c r="C31" s="31">
        <v>21</v>
      </c>
    </row>
    <row r="32" spans="1:6" x14ac:dyDescent="0.3">
      <c r="A32" s="49" t="s">
        <v>196</v>
      </c>
      <c r="B32">
        <v>1</v>
      </c>
      <c r="C32" s="31">
        <v>14</v>
      </c>
    </row>
    <row r="33" spans="1:3" x14ac:dyDescent="0.3">
      <c r="A33" s="49" t="s">
        <v>132</v>
      </c>
      <c r="B33">
        <v>25</v>
      </c>
      <c r="C33" s="31">
        <v>40</v>
      </c>
    </row>
    <row r="34" spans="1:3" x14ac:dyDescent="0.3">
      <c r="A34" s="49" t="s">
        <v>147</v>
      </c>
      <c r="B34">
        <v>185.8</v>
      </c>
      <c r="C34" s="31">
        <v>240</v>
      </c>
    </row>
    <row r="35" spans="1:3" x14ac:dyDescent="0.3">
      <c r="A35" s="49" t="s">
        <v>161</v>
      </c>
      <c r="B35">
        <v>72</v>
      </c>
      <c r="C35" s="31">
        <v>122</v>
      </c>
    </row>
    <row r="36" spans="1:3" x14ac:dyDescent="0.3">
      <c r="A36" s="49" t="s">
        <v>185</v>
      </c>
      <c r="B36">
        <v>13</v>
      </c>
      <c r="C36" s="31">
        <v>42</v>
      </c>
    </row>
    <row r="37" spans="1:3" x14ac:dyDescent="0.3">
      <c r="A37" s="49" t="s">
        <v>187</v>
      </c>
      <c r="B37">
        <v>6</v>
      </c>
      <c r="C37" s="31">
        <v>21</v>
      </c>
    </row>
    <row r="38" spans="1:3" x14ac:dyDescent="0.3">
      <c r="A38" s="49" t="s">
        <v>142</v>
      </c>
      <c r="B38">
        <v>47</v>
      </c>
      <c r="C38" s="31">
        <v>103</v>
      </c>
    </row>
    <row r="39" spans="1:3" x14ac:dyDescent="0.3">
      <c r="A39" s="49" t="s">
        <v>122</v>
      </c>
      <c r="B39">
        <v>10.8</v>
      </c>
      <c r="C39" s="31">
        <v>35</v>
      </c>
    </row>
    <row r="40" spans="1:3" x14ac:dyDescent="0.3">
      <c r="A40" s="49" t="s">
        <v>191</v>
      </c>
      <c r="B40">
        <v>26</v>
      </c>
      <c r="C40" s="31">
        <v>48</v>
      </c>
    </row>
    <row r="41" spans="1:3" x14ac:dyDescent="0.3">
      <c r="A41" s="49" t="s">
        <v>138</v>
      </c>
      <c r="B41">
        <v>24</v>
      </c>
      <c r="C41" s="31">
        <v>24</v>
      </c>
    </row>
    <row r="42" spans="1:3" x14ac:dyDescent="0.3">
      <c r="A42" s="49" t="s">
        <v>202</v>
      </c>
      <c r="B42">
        <v>14</v>
      </c>
      <c r="C42" s="31">
        <v>21</v>
      </c>
    </row>
    <row r="43" spans="1:3" x14ac:dyDescent="0.3">
      <c r="A43" s="49" t="s">
        <v>140</v>
      </c>
      <c r="B43">
        <v>19</v>
      </c>
      <c r="C43" s="31">
        <v>19</v>
      </c>
    </row>
    <row r="44" spans="1:3" x14ac:dyDescent="0.3">
      <c r="A44" s="49" t="s">
        <v>135</v>
      </c>
      <c r="B44">
        <v>2</v>
      </c>
      <c r="C44" s="31">
        <v>19</v>
      </c>
    </row>
    <row r="45" spans="1:3" x14ac:dyDescent="0.3">
      <c r="A45" s="49" t="s">
        <v>126</v>
      </c>
      <c r="B45">
        <v>31.6</v>
      </c>
      <c r="C45" s="31">
        <v>61</v>
      </c>
    </row>
    <row r="46" spans="1:3" x14ac:dyDescent="0.3">
      <c r="A46" s="49" t="s">
        <v>158</v>
      </c>
      <c r="B46">
        <v>17</v>
      </c>
      <c r="C46" s="31">
        <v>17</v>
      </c>
    </row>
    <row r="47" spans="1:3" x14ac:dyDescent="0.3">
      <c r="A47" s="49" t="s">
        <v>144</v>
      </c>
      <c r="B47">
        <v>16</v>
      </c>
      <c r="C47" s="31">
        <v>22</v>
      </c>
    </row>
    <row r="48" spans="1:3" x14ac:dyDescent="0.3">
      <c r="A48" s="49" t="s">
        <v>284</v>
      </c>
      <c r="B48">
        <v>571.20000000000005</v>
      </c>
      <c r="C48" s="31">
        <v>1000</v>
      </c>
    </row>
    <row r="50" spans="1:6" x14ac:dyDescent="0.3">
      <c r="A50" s="48" t="s">
        <v>283</v>
      </c>
      <c r="B50" t="s">
        <v>282</v>
      </c>
      <c r="E50" s="59" t="s">
        <v>294</v>
      </c>
      <c r="F50" s="59" t="s">
        <v>288</v>
      </c>
    </row>
    <row r="51" spans="1:6" x14ac:dyDescent="0.3">
      <c r="A51" s="49" t="s">
        <v>130</v>
      </c>
      <c r="B51" s="31">
        <v>131.57894736842104</v>
      </c>
    </row>
    <row r="52" spans="1:6" x14ac:dyDescent="0.3">
      <c r="A52" s="50" t="s">
        <v>136</v>
      </c>
      <c r="B52" s="31">
        <v>10.526315789473683</v>
      </c>
      <c r="E52" t="str">
        <f>A52</f>
        <v>Acceso a justicia</v>
      </c>
      <c r="F52" s="51">
        <f>GETPIVOTDATA("Porcentaje alcanzado",$A$50,"Dimensión","Análisis institucional","Índice / Indicador","Acceso a justicia")</f>
        <v>10.526315789473683</v>
      </c>
    </row>
    <row r="53" spans="1:6" x14ac:dyDescent="0.3">
      <c r="A53" s="50" t="s">
        <v>134</v>
      </c>
      <c r="B53" s="31">
        <v>21.052631578947366</v>
      </c>
      <c r="E53" t="str">
        <f>A53</f>
        <v>Coordinación intersectorial</v>
      </c>
      <c r="F53" s="51">
        <f>GETPIVOTDATA("Porcentaje alcanzado",$A$50,"Dimensión","Análisis institucional","Índice / Indicador","Coordinación intersectorial")</f>
        <v>21.052631578947366</v>
      </c>
    </row>
    <row r="54" spans="1:6" x14ac:dyDescent="0.3">
      <c r="A54" s="50" t="s">
        <v>133</v>
      </c>
      <c r="B54" s="31">
        <v>100</v>
      </c>
      <c r="E54" t="str">
        <f>A54</f>
        <v>Puntaje del sector de minas y energía en el índice de Desempeño Institucional</v>
      </c>
      <c r="F54" s="51">
        <f>GETPIVOTDATA("Porcentaje alcanzado",$A$50,"Dimensión","Análisis institucional","Índice / Indicador","Puntaje del sector de minas y energía en el índice de Desempeño Institucional")</f>
        <v>100</v>
      </c>
    </row>
    <row r="55" spans="1:6" x14ac:dyDescent="0.3">
      <c r="A55" s="49" t="s">
        <v>120</v>
      </c>
      <c r="B55" s="31">
        <v>219.07268170426067</v>
      </c>
    </row>
    <row r="56" spans="1:6" x14ac:dyDescent="0.3">
      <c r="A56" s="50" t="s">
        <v>127</v>
      </c>
      <c r="B56" s="31">
        <v>72.857142857142861</v>
      </c>
      <c r="E56" t="str">
        <f>A56</f>
        <v>Análisis de impacto regulatorio con dimensión ambiental</v>
      </c>
      <c r="F56" s="30">
        <f>GETPIVOTDATA("Porcentaje alcanzado",$A$50,"Dimensión","Análisis jurídico-normativo","Índice / Indicador","Análisis de impacto regulatorio con dimensión ambiental")</f>
        <v>72.857142857142861</v>
      </c>
    </row>
    <row r="57" spans="1:6" x14ac:dyDescent="0.3">
      <c r="A57" s="50" t="s">
        <v>124</v>
      </c>
      <c r="B57" s="31">
        <v>50</v>
      </c>
      <c r="E57" t="str">
        <f>A57</f>
        <v>Contexto favorable para el ejercicio de los derechos ambientales</v>
      </c>
      <c r="F57" s="30">
        <f>GETPIVOTDATA("Porcentaje alcanzado",$A$50,"Dimensión","Análisis jurídico-normativo","Índice / Indicador","Contexto favorable para el ejercicio de los derechos ambientales")</f>
        <v>50</v>
      </c>
    </row>
    <row r="58" spans="1:6" x14ac:dyDescent="0.3">
      <c r="A58" s="50" t="s">
        <v>128</v>
      </c>
      <c r="B58" s="31">
        <v>5.2631578947368416</v>
      </c>
      <c r="E58" t="str">
        <f>A58</f>
        <v>Evaluación ex post de regulaciones</v>
      </c>
      <c r="F58" s="30">
        <f>GETPIVOTDATA("Porcentaje alcanzado",$A$50,"Dimensión","Análisis jurídico-normativo","Índice / Indicador","Evaluación ex post de regulaciones")</f>
        <v>5.2631578947368416</v>
      </c>
    </row>
    <row r="59" spans="1:6" x14ac:dyDescent="0.3">
      <c r="A59" s="50" t="s">
        <v>129</v>
      </c>
      <c r="B59" s="31">
        <v>72.857142857142861</v>
      </c>
      <c r="E59" t="str">
        <f>A59</f>
        <v>Procesos de consulta pública en la producción normativa</v>
      </c>
      <c r="F59" s="30">
        <f>GETPIVOTDATA("Porcentaje alcanzado",$A$50,"Dimensión","Análisis jurídico-normativo","Índice / Indicador","Procesos de consulta pública en la producción normativa")</f>
        <v>72.857142857142861</v>
      </c>
    </row>
    <row r="60" spans="1:6" x14ac:dyDescent="0.3">
      <c r="A60" s="50" t="s">
        <v>123</v>
      </c>
      <c r="B60" s="31">
        <v>18.095238095238095</v>
      </c>
      <c r="E60" t="str">
        <f>A60</f>
        <v>Reconocimiento y protección de los derechos ambientales en la política sectorial de derechos humanos</v>
      </c>
      <c r="F60" s="30">
        <f>GETPIVOTDATA("Porcentaje alcanzado",$A$50,"Dimensión","Análisis jurídico-normativo","Índice / Indicador","Reconocimiento y protección de los derechos ambientales en la política sectorial de derechos humanos")</f>
        <v>18.095238095238095</v>
      </c>
    </row>
    <row r="61" spans="1:6" x14ac:dyDescent="0.3">
      <c r="A61" s="49" t="s">
        <v>146</v>
      </c>
      <c r="B61" s="31">
        <v>343.68421052631578</v>
      </c>
    </row>
    <row r="62" spans="1:6" x14ac:dyDescent="0.3">
      <c r="A62" s="50" t="s">
        <v>152</v>
      </c>
      <c r="B62" s="31">
        <v>43.684210526315795</v>
      </c>
      <c r="E62" t="str">
        <f>A62</f>
        <v>Área de superposición de cada subsector minero energético con áreas prioritarias de conservación</v>
      </c>
      <c r="F62" s="30">
        <f>GETPIVOTDATA("Porcentaje alcanzado",$A$50,"Dimensión","Biofísica y ecológica","Índice / Indicador","Área de superposición de cada subsector minero energético con áreas prioritarias de conservación")</f>
        <v>43.684210526315795</v>
      </c>
    </row>
    <row r="63" spans="1:6" x14ac:dyDescent="0.3">
      <c r="A63" s="50" t="s">
        <v>151</v>
      </c>
      <c r="B63" s="31">
        <v>50</v>
      </c>
      <c r="E63" t="str">
        <f t="shared" ref="E63:E66" si="3">A63</f>
        <v>Área de superposición de cada subsector minero energético con determinantes ambientales</v>
      </c>
      <c r="F63" s="30">
        <f>GETPIVOTDATA("Porcentaje alcanzado",$A$50,"Dimensión","Biofísica y ecológica","Índice / Indicador","Área de superposición de cada subsector minero energético con determinantes ambientales")</f>
        <v>50</v>
      </c>
    </row>
    <row r="64" spans="1:6" x14ac:dyDescent="0.3">
      <c r="A64" s="50" t="s">
        <v>148</v>
      </c>
      <c r="B64" s="31">
        <v>100</v>
      </c>
      <c r="E64" t="str">
        <f t="shared" si="3"/>
        <v>Variación de la demanda hídrica</v>
      </c>
      <c r="F64" s="30">
        <f>GETPIVOTDATA("Porcentaje alcanzado",$A$50,"Dimensión","Biofísica y ecológica","Índice / Indicador","Variación de la demanda hídrica")</f>
        <v>100</v>
      </c>
    </row>
    <row r="65" spans="1:6" x14ac:dyDescent="0.3">
      <c r="A65" s="50" t="s">
        <v>149</v>
      </c>
      <c r="B65" s="31">
        <v>100</v>
      </c>
      <c r="E65" t="str">
        <f t="shared" si="3"/>
        <v>Variación de la huella hídrica azul</v>
      </c>
      <c r="F65" s="30">
        <f>GETPIVOTDATA("Porcentaje alcanzado",$A$50,"Dimensión","Biofísica y ecológica","Índice / Indicador","Variación de la huella hídrica azul")</f>
        <v>100</v>
      </c>
    </row>
    <row r="66" spans="1:6" x14ac:dyDescent="0.3">
      <c r="A66" s="50" t="s">
        <v>150</v>
      </c>
      <c r="B66" s="31">
        <v>50</v>
      </c>
      <c r="E66" t="str">
        <f t="shared" si="3"/>
        <v>Variación del área compensada por cada subsector minero energético</v>
      </c>
      <c r="F66" s="30">
        <f>GETPIVOTDATA("Porcentaje alcanzado",$A$50,"Dimensión","Biofísica y ecológica","Índice / Indicador","Variación del área compensada por cada subsector minero energético")</f>
        <v>50</v>
      </c>
    </row>
    <row r="67" spans="1:6" x14ac:dyDescent="0.3">
      <c r="A67" s="49" t="s">
        <v>160</v>
      </c>
      <c r="B67" s="31">
        <v>210.38961038961037</v>
      </c>
    </row>
    <row r="68" spans="1:6" x14ac:dyDescent="0.3">
      <c r="A68" s="50" t="s">
        <v>165</v>
      </c>
      <c r="B68" s="31">
        <v>50</v>
      </c>
    </row>
    <row r="69" spans="1:6" x14ac:dyDescent="0.3">
      <c r="A69" s="50" t="s">
        <v>166</v>
      </c>
      <c r="B69" s="31">
        <v>25</v>
      </c>
    </row>
    <row r="70" spans="1:6" x14ac:dyDescent="0.3">
      <c r="A70" s="50" t="s">
        <v>167</v>
      </c>
      <c r="B70" s="31">
        <v>75</v>
      </c>
    </row>
    <row r="71" spans="1:6" x14ac:dyDescent="0.3">
      <c r="A71" s="50" t="s">
        <v>164</v>
      </c>
      <c r="B71" s="31">
        <v>0</v>
      </c>
    </row>
    <row r="72" spans="1:6" x14ac:dyDescent="0.3">
      <c r="A72" s="50" t="s">
        <v>163</v>
      </c>
      <c r="B72" s="31">
        <v>28.571428571428569</v>
      </c>
    </row>
    <row r="73" spans="1:6" x14ac:dyDescent="0.3">
      <c r="A73" s="50" t="s">
        <v>162</v>
      </c>
      <c r="B73" s="31">
        <v>31.818181818181817</v>
      </c>
    </row>
    <row r="74" spans="1:6" x14ac:dyDescent="0.3">
      <c r="A74" s="49" t="s">
        <v>175</v>
      </c>
      <c r="B74" s="31">
        <v>431.81818181818181</v>
      </c>
    </row>
    <row r="75" spans="1:6" x14ac:dyDescent="0.3">
      <c r="A75" s="50" t="s">
        <v>179</v>
      </c>
      <c r="B75" s="31">
        <v>100</v>
      </c>
    </row>
    <row r="76" spans="1:6" x14ac:dyDescent="0.3">
      <c r="A76" s="50" t="s">
        <v>180</v>
      </c>
      <c r="B76" s="31">
        <v>31.818181818181817</v>
      </c>
    </row>
    <row r="77" spans="1:6" x14ac:dyDescent="0.3">
      <c r="A77" s="50" t="s">
        <v>176</v>
      </c>
      <c r="B77" s="31">
        <v>100</v>
      </c>
    </row>
    <row r="78" spans="1:6" x14ac:dyDescent="0.3">
      <c r="A78" s="50" t="s">
        <v>177</v>
      </c>
      <c r="B78" s="31">
        <v>100</v>
      </c>
    </row>
    <row r="79" spans="1:6" x14ac:dyDescent="0.3">
      <c r="A79" s="50" t="s">
        <v>178</v>
      </c>
      <c r="B79" s="31">
        <v>100</v>
      </c>
    </row>
    <row r="80" spans="1:6" x14ac:dyDescent="0.3">
      <c r="A80" s="49" t="s">
        <v>153</v>
      </c>
      <c r="B80" s="31">
        <v>182.20551378446115</v>
      </c>
    </row>
    <row r="81" spans="1:2" x14ac:dyDescent="0.3">
      <c r="A81" s="50" t="s">
        <v>157</v>
      </c>
      <c r="B81" s="31">
        <v>63.157894736842103</v>
      </c>
    </row>
    <row r="82" spans="1:2" x14ac:dyDescent="0.3">
      <c r="A82" s="50" t="s">
        <v>159</v>
      </c>
      <c r="B82" s="31">
        <v>100</v>
      </c>
    </row>
    <row r="83" spans="1:2" x14ac:dyDescent="0.3">
      <c r="A83" s="50" t="s">
        <v>154</v>
      </c>
      <c r="B83" s="31">
        <v>19.047619047619047</v>
      </c>
    </row>
    <row r="84" spans="1:2" x14ac:dyDescent="0.3">
      <c r="A84" s="49" t="s">
        <v>137</v>
      </c>
      <c r="B84" s="31">
        <v>347.72727272727275</v>
      </c>
    </row>
    <row r="85" spans="1:2" x14ac:dyDescent="0.3">
      <c r="A85" s="50" t="s">
        <v>143</v>
      </c>
      <c r="B85" s="31">
        <v>75</v>
      </c>
    </row>
    <row r="86" spans="1:2" x14ac:dyDescent="0.3">
      <c r="A86" s="50" t="s">
        <v>145</v>
      </c>
      <c r="B86" s="31">
        <v>72.727272727272734</v>
      </c>
    </row>
    <row r="87" spans="1:2" x14ac:dyDescent="0.3">
      <c r="A87" s="50" t="s">
        <v>141</v>
      </c>
      <c r="B87" s="31">
        <v>100</v>
      </c>
    </row>
    <row r="88" spans="1:2" x14ac:dyDescent="0.3">
      <c r="A88" s="50" t="s">
        <v>139</v>
      </c>
      <c r="B88" s="31">
        <v>100</v>
      </c>
    </row>
    <row r="89" spans="1:2" x14ac:dyDescent="0.3">
      <c r="A89" s="49" t="s">
        <v>198</v>
      </c>
      <c r="B89" s="31">
        <v>274.99999999999994</v>
      </c>
    </row>
    <row r="90" spans="1:2" x14ac:dyDescent="0.3">
      <c r="A90" s="50" t="s">
        <v>203</v>
      </c>
      <c r="B90" s="31">
        <v>66.666666666666657</v>
      </c>
    </row>
    <row r="91" spans="1:2" x14ac:dyDescent="0.3">
      <c r="A91" s="50" t="s">
        <v>199</v>
      </c>
      <c r="B91" s="31">
        <v>100</v>
      </c>
    </row>
    <row r="92" spans="1:2" x14ac:dyDescent="0.3">
      <c r="A92" s="50" t="s">
        <v>200</v>
      </c>
      <c r="B92" s="31">
        <v>100</v>
      </c>
    </row>
    <row r="93" spans="1:2" x14ac:dyDescent="0.3">
      <c r="A93" s="50" t="s">
        <v>201</v>
      </c>
      <c r="B93" s="31">
        <v>8.3333333333333321</v>
      </c>
    </row>
    <row r="94" spans="1:2" x14ac:dyDescent="0.3">
      <c r="A94" s="49" t="s">
        <v>181</v>
      </c>
      <c r="B94" s="31">
        <v>245.23809523809518</v>
      </c>
    </row>
    <row r="95" spans="1:2" x14ac:dyDescent="0.3">
      <c r="A95" s="50" t="s">
        <v>188</v>
      </c>
      <c r="B95" s="31">
        <v>28.571428571428569</v>
      </c>
    </row>
    <row r="96" spans="1:2" x14ac:dyDescent="0.3">
      <c r="A96" s="50" t="s">
        <v>183</v>
      </c>
      <c r="B96" s="31">
        <v>50</v>
      </c>
    </row>
    <row r="97" spans="1:2" x14ac:dyDescent="0.3">
      <c r="A97" s="50" t="s">
        <v>184</v>
      </c>
      <c r="B97" s="31">
        <v>33.333333333333329</v>
      </c>
    </row>
    <row r="98" spans="1:2" x14ac:dyDescent="0.3">
      <c r="A98" s="50" t="s">
        <v>182</v>
      </c>
      <c r="B98" s="31">
        <v>71.428571428571431</v>
      </c>
    </row>
    <row r="99" spans="1:2" x14ac:dyDescent="0.3">
      <c r="A99" s="50" t="s">
        <v>189</v>
      </c>
      <c r="B99" s="31">
        <v>28.571428571428569</v>
      </c>
    </row>
    <row r="100" spans="1:2" x14ac:dyDescent="0.3">
      <c r="A100" s="50" t="s">
        <v>186</v>
      </c>
      <c r="B100" s="31">
        <v>33.333333333333329</v>
      </c>
    </row>
    <row r="101" spans="1:2" x14ac:dyDescent="0.3">
      <c r="A101" s="49" t="s">
        <v>190</v>
      </c>
      <c r="B101" s="31">
        <v>144.04761904761904</v>
      </c>
    </row>
    <row r="102" spans="1:2" x14ac:dyDescent="0.3">
      <c r="A102" s="50" t="s">
        <v>197</v>
      </c>
      <c r="B102" s="31">
        <v>7.1428571428571423</v>
      </c>
    </row>
    <row r="103" spans="1:2" x14ac:dyDescent="0.3">
      <c r="A103" s="50" t="s">
        <v>195</v>
      </c>
      <c r="B103" s="31">
        <v>28.571428571428569</v>
      </c>
    </row>
    <row r="104" spans="1:2" x14ac:dyDescent="0.3">
      <c r="A104" s="50" t="s">
        <v>193</v>
      </c>
      <c r="B104" s="31">
        <v>58.333333333333336</v>
      </c>
    </row>
    <row r="105" spans="1:2" x14ac:dyDescent="0.3">
      <c r="A105" s="50" t="s">
        <v>192</v>
      </c>
      <c r="B105" s="31">
        <v>50</v>
      </c>
    </row>
    <row r="106" spans="1:2" x14ac:dyDescent="0.3">
      <c r="A106" s="49" t="s">
        <v>168</v>
      </c>
      <c r="B106" s="31">
        <v>386.55462184873943</v>
      </c>
    </row>
    <row r="107" spans="1:2" x14ac:dyDescent="0.3">
      <c r="A107" s="50" t="s">
        <v>172</v>
      </c>
      <c r="B107" s="31">
        <v>100</v>
      </c>
    </row>
    <row r="108" spans="1:2" x14ac:dyDescent="0.3">
      <c r="A108" s="50" t="s">
        <v>171</v>
      </c>
      <c r="B108" s="31">
        <v>100</v>
      </c>
    </row>
    <row r="109" spans="1:2" x14ac:dyDescent="0.3">
      <c r="A109" s="50" t="s">
        <v>174</v>
      </c>
      <c r="B109" s="31">
        <v>29.411764705882355</v>
      </c>
    </row>
    <row r="110" spans="1:2" x14ac:dyDescent="0.3">
      <c r="A110" s="50" t="s">
        <v>173</v>
      </c>
      <c r="B110" s="31">
        <v>100</v>
      </c>
    </row>
    <row r="111" spans="1:2" x14ac:dyDescent="0.3">
      <c r="A111" s="50" t="s">
        <v>170</v>
      </c>
      <c r="B111" s="31">
        <v>42.857142857142854</v>
      </c>
    </row>
    <row r="112" spans="1:2" x14ac:dyDescent="0.3">
      <c r="A112" s="50" t="s">
        <v>169</v>
      </c>
      <c r="B112" s="31">
        <v>14.285714285714285</v>
      </c>
    </row>
    <row r="113" spans="1:2" x14ac:dyDescent="0.3">
      <c r="A113" s="49" t="s">
        <v>284</v>
      </c>
      <c r="B113" s="31">
        <v>2917.3167544529779</v>
      </c>
    </row>
  </sheetData>
  <mergeCells count="2">
    <mergeCell ref="I4:J4"/>
    <mergeCell ref="I3:J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DCC86-3FB7-4809-9E7F-438575BD5A3D}">
  <dimension ref="A1:J56"/>
  <sheetViews>
    <sheetView tabSelected="1" topLeftCell="C1" zoomScale="89" workbookViewId="0">
      <selection activeCell="F14" sqref="F14"/>
    </sheetView>
  </sheetViews>
  <sheetFormatPr baseColWidth="10" defaultRowHeight="14.4" x14ac:dyDescent="0.3"/>
  <cols>
    <col min="1" max="1" width="31.21875" customWidth="1"/>
    <col min="2" max="2" width="31.109375" customWidth="1"/>
    <col min="3" max="3" width="30.6640625" customWidth="1"/>
    <col min="4" max="4" width="27.5546875" customWidth="1"/>
    <col min="5" max="5" width="42.21875" customWidth="1"/>
    <col min="6" max="6" width="30" customWidth="1"/>
    <col min="7" max="7" width="30.77734375" customWidth="1"/>
    <col min="8" max="8" width="32.88671875" customWidth="1"/>
    <col min="9" max="9" width="31.21875" customWidth="1"/>
  </cols>
  <sheetData>
    <row r="1" spans="1:10" s="36" customFormat="1" ht="29.4" thickBot="1" x14ac:dyDescent="0.35">
      <c r="A1" s="33" t="s">
        <v>109</v>
      </c>
      <c r="B1" s="34" t="s">
        <v>3</v>
      </c>
      <c r="C1" s="34" t="s">
        <v>110</v>
      </c>
      <c r="D1" s="35" t="s">
        <v>44</v>
      </c>
      <c r="E1" s="35" t="s">
        <v>111</v>
      </c>
      <c r="F1" s="37" t="s">
        <v>216</v>
      </c>
      <c r="G1" s="37" t="s">
        <v>217</v>
      </c>
      <c r="H1" s="37" t="s">
        <v>218</v>
      </c>
      <c r="I1" s="37" t="s">
        <v>219</v>
      </c>
      <c r="J1" s="37" t="s">
        <v>1224</v>
      </c>
    </row>
    <row r="2" spans="1:10" ht="43.8" thickTop="1" x14ac:dyDescent="0.3">
      <c r="A2" s="22">
        <v>1</v>
      </c>
      <c r="B2" s="23" t="s">
        <v>120</v>
      </c>
      <c r="C2" s="24" t="s">
        <v>121</v>
      </c>
      <c r="D2" s="23" t="s">
        <v>122</v>
      </c>
      <c r="E2" s="23" t="s">
        <v>123</v>
      </c>
      <c r="F2" s="26">
        <f>'Puntaje asignado indicador'!D3</f>
        <v>7.75</v>
      </c>
      <c r="G2" s="26">
        <f>'Puntaje asignado indicador'!G3</f>
        <v>7.75</v>
      </c>
      <c r="H2" s="25">
        <f>Tabla1[[#This Row],[Aproximación a la unidad]]</f>
        <v>21</v>
      </c>
      <c r="I2" s="39">
        <f>G2/H2*100</f>
        <v>36.904761904761905</v>
      </c>
    </row>
    <row r="3" spans="1:10" ht="28.8" x14ac:dyDescent="0.3">
      <c r="A3" s="22">
        <v>2</v>
      </c>
      <c r="B3" s="23" t="s">
        <v>120</v>
      </c>
      <c r="C3" s="24" t="s">
        <v>121</v>
      </c>
      <c r="D3" s="23" t="s">
        <v>122</v>
      </c>
      <c r="E3" s="23" t="s">
        <v>124</v>
      </c>
      <c r="F3" s="26">
        <f>'Puntaje asignado indicador'!D4</f>
        <v>2.8</v>
      </c>
      <c r="G3" s="26">
        <f>'Puntaje asignado indicador'!G4</f>
        <v>2.8</v>
      </c>
      <c r="H3" s="25">
        <f>Tabla1[[#This Row],[Aproximación a la unidad]]</f>
        <v>14</v>
      </c>
      <c r="I3" s="39">
        <f>G3/H3*100</f>
        <v>20</v>
      </c>
    </row>
    <row r="4" spans="1:10" ht="28.8" x14ac:dyDescent="0.3">
      <c r="A4" s="22">
        <v>3</v>
      </c>
      <c r="B4" s="23" t="s">
        <v>120</v>
      </c>
      <c r="C4" s="24" t="s">
        <v>125</v>
      </c>
      <c r="D4" s="23" t="s">
        <v>126</v>
      </c>
      <c r="E4" s="23" t="s">
        <v>127</v>
      </c>
      <c r="F4" s="26">
        <f>'Puntaje asignado indicador'!D5</f>
        <v>15.3</v>
      </c>
      <c r="G4" s="26">
        <f>'Puntaje asignado indicador'!G5</f>
        <v>15.3</v>
      </c>
      <c r="H4" s="25">
        <f>Tabla1[[#This Row],[Aproximación a la unidad]]</f>
        <v>21</v>
      </c>
      <c r="I4" s="39">
        <f t="shared" ref="I4:I52" si="0">G4/H4*100</f>
        <v>72.857142857142861</v>
      </c>
    </row>
    <row r="5" spans="1:10" ht="28.8" x14ac:dyDescent="0.3">
      <c r="A5" s="22">
        <v>4</v>
      </c>
      <c r="B5" s="23" t="s">
        <v>120</v>
      </c>
      <c r="C5" s="24" t="s">
        <v>125</v>
      </c>
      <c r="D5" s="23" t="s">
        <v>126</v>
      </c>
      <c r="E5" s="23" t="s">
        <v>128</v>
      </c>
      <c r="F5" s="26">
        <f>'Puntaje asignado indicador'!D6</f>
        <v>1</v>
      </c>
      <c r="G5" s="26">
        <f>'Puntaje asignado indicador'!G6</f>
        <v>1</v>
      </c>
      <c r="H5" s="25">
        <f>Tabla1[[#This Row],[Aproximación a la unidad]]</f>
        <v>19</v>
      </c>
      <c r="I5" s="39">
        <f t="shared" si="0"/>
        <v>5.2631578947368416</v>
      </c>
    </row>
    <row r="6" spans="1:10" s="42" customFormat="1" ht="28.8" x14ac:dyDescent="0.3">
      <c r="A6" s="43">
        <v>5</v>
      </c>
      <c r="B6" s="44" t="s">
        <v>120</v>
      </c>
      <c r="C6" s="45" t="s">
        <v>125</v>
      </c>
      <c r="D6" s="44" t="s">
        <v>126</v>
      </c>
      <c r="E6" s="44" t="s">
        <v>129</v>
      </c>
      <c r="F6" s="46">
        <v>15.3</v>
      </c>
      <c r="G6" s="26">
        <f>'Puntaje asignado indicador'!G7</f>
        <v>15.3</v>
      </c>
      <c r="H6" s="25">
        <f>Tabla1[[#This Row],[Aproximación a la unidad]]</f>
        <v>21</v>
      </c>
      <c r="I6" s="47">
        <f t="shared" si="0"/>
        <v>72.857142857142861</v>
      </c>
      <c r="J6" s="151"/>
    </row>
    <row r="7" spans="1:10" ht="28.8" x14ac:dyDescent="0.3">
      <c r="A7" s="22">
        <v>6</v>
      </c>
      <c r="B7" s="23" t="s">
        <v>130</v>
      </c>
      <c r="C7" s="24" t="s">
        <v>131</v>
      </c>
      <c r="D7" s="23" t="s">
        <v>132</v>
      </c>
      <c r="E7" s="23" t="s">
        <v>133</v>
      </c>
      <c r="F7" s="26">
        <f>'Puntaje asignado indicador'!D8</f>
        <v>4.2</v>
      </c>
      <c r="G7" s="26">
        <f>'Puntaje asignado indicador'!G8</f>
        <v>4.2</v>
      </c>
      <c r="H7" s="25">
        <f>Tabla1[[#This Row],[Aproximación a la unidad]]</f>
        <v>21</v>
      </c>
      <c r="I7" s="39">
        <f t="shared" si="0"/>
        <v>20</v>
      </c>
    </row>
    <row r="8" spans="1:10" ht="28.8" x14ac:dyDescent="0.3">
      <c r="A8" s="22">
        <v>7</v>
      </c>
      <c r="B8" s="23" t="s">
        <v>130</v>
      </c>
      <c r="C8" s="24" t="s">
        <v>131</v>
      </c>
      <c r="D8" s="23" t="s">
        <v>132</v>
      </c>
      <c r="E8" s="23" t="s">
        <v>134</v>
      </c>
      <c r="F8" s="26">
        <f>'Puntaje asignado indicador'!D9</f>
        <v>4</v>
      </c>
      <c r="G8" s="26">
        <f>'Puntaje asignado indicador'!G9</f>
        <v>4</v>
      </c>
      <c r="H8" s="25">
        <f>Tabla1[[#This Row],[Aproximación a la unidad]]</f>
        <v>19</v>
      </c>
      <c r="I8" s="39">
        <f t="shared" si="0"/>
        <v>21.052631578947366</v>
      </c>
    </row>
    <row r="9" spans="1:10" x14ac:dyDescent="0.3">
      <c r="A9" s="22">
        <v>8</v>
      </c>
      <c r="B9" s="23" t="s">
        <v>130</v>
      </c>
      <c r="C9" s="24" t="s">
        <v>125</v>
      </c>
      <c r="D9" s="23" t="s">
        <v>135</v>
      </c>
      <c r="E9" s="23" t="s">
        <v>136</v>
      </c>
      <c r="F9" s="26">
        <f>'Puntaje asignado indicador'!D10</f>
        <v>2</v>
      </c>
      <c r="G9" s="26">
        <f>'Puntaje asignado indicador'!G10</f>
        <v>2</v>
      </c>
      <c r="H9" s="25">
        <f>Tabla1[[#This Row],[Aproximación a la unidad]]</f>
        <v>19</v>
      </c>
      <c r="I9" s="39">
        <f t="shared" si="0"/>
        <v>10.526315789473683</v>
      </c>
    </row>
    <row r="10" spans="1:10" x14ac:dyDescent="0.3">
      <c r="A10" s="114">
        <v>9</v>
      </c>
      <c r="B10" s="115" t="s">
        <v>137</v>
      </c>
      <c r="C10" s="116" t="s">
        <v>125</v>
      </c>
      <c r="D10" s="115" t="s">
        <v>138</v>
      </c>
      <c r="E10" s="115" t="s">
        <v>139</v>
      </c>
      <c r="F10" s="117">
        <f>'Puntaje asignado indicador'!D11</f>
        <v>84.899371334542849</v>
      </c>
      <c r="G10" s="117">
        <f>'Puntaje asignado indicador'!G11</f>
        <v>19</v>
      </c>
      <c r="H10" s="118">
        <f>Tabla1[[#This Row],[Aproximación a la unidad]]</f>
        <v>24</v>
      </c>
      <c r="I10" s="119">
        <f t="shared" si="0"/>
        <v>79.166666666666657</v>
      </c>
    </row>
    <row r="11" spans="1:10" x14ac:dyDescent="0.3">
      <c r="A11" s="114">
        <v>10</v>
      </c>
      <c r="B11" s="115" t="s">
        <v>137</v>
      </c>
      <c r="C11" s="116" t="s">
        <v>125</v>
      </c>
      <c r="D11" s="115" t="s">
        <v>140</v>
      </c>
      <c r="E11" s="115" t="s">
        <v>141</v>
      </c>
      <c r="F11" s="117">
        <f>'Puntaje asignado indicador'!D12</f>
        <v>27.625028755463532</v>
      </c>
      <c r="G11" s="117">
        <f>'Puntaje asignado indicador'!G12</f>
        <v>15</v>
      </c>
      <c r="H11" s="118">
        <f>Tabla1[[#This Row],[Aproximación a la unidad]]</f>
        <v>19</v>
      </c>
      <c r="I11" s="119">
        <f t="shared" si="0"/>
        <v>78.94736842105263</v>
      </c>
    </row>
    <row r="12" spans="1:10" x14ac:dyDescent="0.3">
      <c r="A12" s="114">
        <v>11</v>
      </c>
      <c r="B12" s="115" t="s">
        <v>137</v>
      </c>
      <c r="C12" s="116" t="s">
        <v>125</v>
      </c>
      <c r="D12" s="115" t="s">
        <v>142</v>
      </c>
      <c r="E12" s="115" t="s">
        <v>143</v>
      </c>
      <c r="F12" s="117">
        <f>'Puntaje asignado indicador'!D13</f>
        <v>35.251798561151077</v>
      </c>
      <c r="G12" s="117">
        <f>'Puntaje asignado indicador'!G13</f>
        <v>18</v>
      </c>
      <c r="H12" s="118">
        <f>Tabla1[[#This Row],[Aproximación a la unidad]]</f>
        <v>24</v>
      </c>
      <c r="I12" s="119">
        <f t="shared" si="0"/>
        <v>75</v>
      </c>
    </row>
    <row r="13" spans="1:10" x14ac:dyDescent="0.3">
      <c r="A13" s="22">
        <v>12</v>
      </c>
      <c r="B13" s="23" t="s">
        <v>137</v>
      </c>
      <c r="C13" s="24" t="s">
        <v>125</v>
      </c>
      <c r="D13" s="23" t="s">
        <v>144</v>
      </c>
      <c r="E13" s="23" t="s">
        <v>145</v>
      </c>
      <c r="F13" s="26">
        <f>'Puntaje asignado indicador'!D14</f>
        <v>94.3125</v>
      </c>
      <c r="G13" s="26">
        <f>'Puntaje asignado indicador'!G14</f>
        <v>16</v>
      </c>
      <c r="H13" s="25">
        <f>Tabla1[[#This Row],[Aproximación a la unidad]]</f>
        <v>22</v>
      </c>
      <c r="I13" s="39">
        <f t="shared" si="0"/>
        <v>72.727272727272734</v>
      </c>
    </row>
    <row r="14" spans="1:10" x14ac:dyDescent="0.3">
      <c r="A14" s="22">
        <v>13</v>
      </c>
      <c r="B14" s="23" t="s">
        <v>146</v>
      </c>
      <c r="C14" s="24" t="s">
        <v>131</v>
      </c>
      <c r="D14" s="23" t="s">
        <v>147</v>
      </c>
      <c r="E14" s="23" t="s">
        <v>148</v>
      </c>
      <c r="F14" s="26">
        <f>'Puntaje asignado indicador'!D15</f>
        <v>1507.5000000000002</v>
      </c>
      <c r="G14" s="26">
        <f>'Puntaje asignado indicador'!G15</f>
        <v>17</v>
      </c>
      <c r="H14" s="25">
        <f>Tabla1[[#This Row],[Aproximación a la unidad]]</f>
        <v>17</v>
      </c>
      <c r="I14" s="39">
        <f t="shared" si="0"/>
        <v>100</v>
      </c>
    </row>
    <row r="15" spans="1:10" x14ac:dyDescent="0.3">
      <c r="A15" s="22">
        <v>14</v>
      </c>
      <c r="B15" s="23" t="s">
        <v>146</v>
      </c>
      <c r="C15" s="24" t="s">
        <v>131</v>
      </c>
      <c r="D15" s="23" t="s">
        <v>147</v>
      </c>
      <c r="E15" s="23" t="s">
        <v>149</v>
      </c>
      <c r="F15" s="26">
        <f>'Puntaje asignado indicador'!D16</f>
        <v>39.60000000000003</v>
      </c>
      <c r="G15" s="26">
        <f>'Puntaje asignado indicador'!G16</f>
        <v>17</v>
      </c>
      <c r="H15" s="25">
        <f>Tabla1[[#This Row],[Aproximación a la unidad]]</f>
        <v>17</v>
      </c>
      <c r="I15" s="39">
        <f t="shared" si="0"/>
        <v>100</v>
      </c>
    </row>
    <row r="16" spans="1:10" ht="28.8" x14ac:dyDescent="0.3">
      <c r="A16" s="22">
        <v>15</v>
      </c>
      <c r="B16" s="23" t="s">
        <v>146</v>
      </c>
      <c r="C16" s="24" t="s">
        <v>131</v>
      </c>
      <c r="D16" s="23" t="s">
        <v>147</v>
      </c>
      <c r="E16" s="23" t="s">
        <v>150</v>
      </c>
      <c r="F16" s="82">
        <f>'Puntaje asignado indicador'!D17</f>
        <v>2975.8630922734742</v>
      </c>
      <c r="G16" s="26">
        <f>'Puntaje asignado indicador'!G17</f>
        <v>9.5</v>
      </c>
      <c r="H16" s="25">
        <f>Tabla1[[#This Row],[Aproximación a la unidad]]</f>
        <v>19</v>
      </c>
      <c r="I16" s="39">
        <f t="shared" si="0"/>
        <v>50</v>
      </c>
    </row>
    <row r="17" spans="1:9" ht="28.8" x14ac:dyDescent="0.3">
      <c r="A17" s="22">
        <v>16</v>
      </c>
      <c r="B17" s="23" t="s">
        <v>146</v>
      </c>
      <c r="C17" s="24" t="s">
        <v>131</v>
      </c>
      <c r="D17" s="23" t="s">
        <v>147</v>
      </c>
      <c r="E17" s="23" t="s">
        <v>151</v>
      </c>
      <c r="F17" s="84">
        <f>'Puntaje asignado indicador'!D18</f>
        <v>43.950025930740956</v>
      </c>
      <c r="G17" s="26">
        <f>'Puntaje asignado indicador'!G18</f>
        <v>14.25</v>
      </c>
      <c r="H17" s="25">
        <f>Tabla1[[#This Row],[Aproximación a la unidad]]</f>
        <v>19</v>
      </c>
      <c r="I17" s="39">
        <f t="shared" si="0"/>
        <v>75</v>
      </c>
    </row>
    <row r="18" spans="1:9" ht="28.8" x14ac:dyDescent="0.3">
      <c r="A18" s="22">
        <v>17</v>
      </c>
      <c r="B18" s="23" t="s">
        <v>146</v>
      </c>
      <c r="C18" s="24" t="s">
        <v>131</v>
      </c>
      <c r="D18" s="23" t="s">
        <v>147</v>
      </c>
      <c r="E18" s="23" t="s">
        <v>152</v>
      </c>
      <c r="F18" s="84">
        <f>'Puntaje asignado indicador'!D19</f>
        <v>34.475552173836057</v>
      </c>
      <c r="G18" s="26">
        <f>'Puntaje asignado indicador'!G19</f>
        <v>10</v>
      </c>
      <c r="H18" s="25">
        <f>Tabla1[[#This Row],[Aproximación a la unidad]]</f>
        <v>19</v>
      </c>
      <c r="I18" s="39">
        <f t="shared" si="0"/>
        <v>52.631578947368418</v>
      </c>
    </row>
    <row r="19" spans="1:9" ht="28.8" x14ac:dyDescent="0.3">
      <c r="A19" s="22">
        <v>18</v>
      </c>
      <c r="B19" s="23" t="s">
        <v>153</v>
      </c>
      <c r="C19" s="24" t="s">
        <v>131</v>
      </c>
      <c r="D19" s="23" t="s">
        <v>147</v>
      </c>
      <c r="E19" s="23" t="s">
        <v>154</v>
      </c>
      <c r="F19" s="84">
        <f>'Puntaje asignado indicador'!D20</f>
        <v>56.339554681991935</v>
      </c>
      <c r="G19" s="26">
        <f>'Puntaje asignado indicador'!G20</f>
        <v>4</v>
      </c>
      <c r="H19" s="25">
        <f>Tabla1[[#This Row],[Aproximación a la unidad]]</f>
        <v>21</v>
      </c>
      <c r="I19" s="39">
        <f t="shared" si="0"/>
        <v>19.047619047619047</v>
      </c>
    </row>
    <row r="20" spans="1:9" x14ac:dyDescent="0.3">
      <c r="A20" s="22">
        <v>19</v>
      </c>
      <c r="B20" s="23" t="s">
        <v>153</v>
      </c>
      <c r="C20" s="23" t="s">
        <v>155</v>
      </c>
      <c r="D20" s="24" t="s">
        <v>156</v>
      </c>
      <c r="E20" s="23" t="s">
        <v>157</v>
      </c>
      <c r="F20" s="84">
        <f>'Puntaje asignado indicador'!D21</f>
        <v>64.285714285714292</v>
      </c>
      <c r="G20" s="26">
        <f>'Puntaje asignado indicador'!G21</f>
        <v>12</v>
      </c>
      <c r="H20" s="25">
        <f>Tabla1[[#This Row],[Aproximación a la unidad]]</f>
        <v>19</v>
      </c>
      <c r="I20" s="39">
        <f t="shared" si="0"/>
        <v>63.157894736842103</v>
      </c>
    </row>
    <row r="21" spans="1:9" x14ac:dyDescent="0.3">
      <c r="A21" s="22">
        <v>20</v>
      </c>
      <c r="B21" s="23" t="s">
        <v>153</v>
      </c>
      <c r="C21" s="24" t="s">
        <v>131</v>
      </c>
      <c r="D21" s="23" t="s">
        <v>158</v>
      </c>
      <c r="E21" s="23" t="s">
        <v>159</v>
      </c>
      <c r="F21" s="84">
        <f>'Puntaje asignado indicador'!D22</f>
        <v>0</v>
      </c>
      <c r="G21" s="26">
        <f>'Puntaje asignado indicador'!G22</f>
        <v>17</v>
      </c>
      <c r="H21" s="25">
        <f>Tabla1[[#This Row],[Aproximación a la unidad]]</f>
        <v>17</v>
      </c>
      <c r="I21" s="39">
        <f t="shared" si="0"/>
        <v>100</v>
      </c>
    </row>
    <row r="22" spans="1:9" ht="28.8" x14ac:dyDescent="0.3">
      <c r="A22" s="22">
        <v>21</v>
      </c>
      <c r="B22" s="23" t="s">
        <v>160</v>
      </c>
      <c r="C22" s="24" t="s">
        <v>155</v>
      </c>
      <c r="D22" s="23" t="s">
        <v>161</v>
      </c>
      <c r="E22" s="23" t="s">
        <v>162</v>
      </c>
      <c r="F22" s="84">
        <f>'Puntaje asignado indicador'!D23</f>
        <v>-1.0436079016026745</v>
      </c>
      <c r="G22" s="26">
        <f>'Puntaje asignado indicador'!G23</f>
        <v>17</v>
      </c>
      <c r="H22" s="25">
        <f>Tabla1[[#This Row],[Aproximación a la unidad]]</f>
        <v>22</v>
      </c>
      <c r="I22" s="39">
        <f t="shared" si="0"/>
        <v>77.272727272727266</v>
      </c>
    </row>
    <row r="23" spans="1:9" ht="28.8" x14ac:dyDescent="0.3">
      <c r="A23" s="22">
        <v>22</v>
      </c>
      <c r="B23" s="23" t="s">
        <v>160</v>
      </c>
      <c r="C23" s="24" t="s">
        <v>155</v>
      </c>
      <c r="D23" s="23" t="s">
        <v>161</v>
      </c>
      <c r="E23" s="23" t="s">
        <v>163</v>
      </c>
      <c r="F23" s="84">
        <f>'Puntaje asignado indicador'!D24</f>
        <v>-96.196899958972139</v>
      </c>
      <c r="G23" s="26">
        <f>'Puntaje asignado indicador'!G24</f>
        <v>6</v>
      </c>
      <c r="H23" s="25">
        <f>Tabla1[[#This Row],[Aproximación a la unidad]]</f>
        <v>21</v>
      </c>
      <c r="I23" s="39">
        <f t="shared" si="0"/>
        <v>28.571428571428569</v>
      </c>
    </row>
    <row r="24" spans="1:9" ht="28.8" x14ac:dyDescent="0.3">
      <c r="A24" s="22">
        <v>23</v>
      </c>
      <c r="B24" s="23" t="s">
        <v>160</v>
      </c>
      <c r="C24" s="24" t="s">
        <v>155</v>
      </c>
      <c r="D24" s="23" t="s">
        <v>156</v>
      </c>
      <c r="E24" s="23" t="s">
        <v>164</v>
      </c>
      <c r="F24" s="84">
        <f>'Puntaje asignado indicador'!D25</f>
        <v>0</v>
      </c>
      <c r="G24" s="26">
        <f>'Puntaje asignado indicador'!G25</f>
        <v>0</v>
      </c>
      <c r="H24" s="25">
        <f>Tabla1[[#This Row],[Aproximación a la unidad]]</f>
        <v>19</v>
      </c>
      <c r="I24" s="39">
        <f t="shared" si="0"/>
        <v>0</v>
      </c>
    </row>
    <row r="25" spans="1:9" ht="28.8" x14ac:dyDescent="0.3">
      <c r="A25" s="134">
        <v>24</v>
      </c>
      <c r="B25" s="135" t="s">
        <v>160</v>
      </c>
      <c r="C25" s="136" t="s">
        <v>155</v>
      </c>
      <c r="D25" s="135" t="s">
        <v>156</v>
      </c>
      <c r="E25" s="136" t="s">
        <v>165</v>
      </c>
      <c r="F25" s="137">
        <f>'Puntaje asignado indicador'!D26</f>
        <v>2.7293082133838387</v>
      </c>
      <c r="G25" s="138">
        <f>'Puntaje asignado indicador'!G26</f>
        <v>12</v>
      </c>
      <c r="H25" s="139">
        <f>Tabla1[[#This Row],[Aproximación a la unidad]]</f>
        <v>24</v>
      </c>
      <c r="I25" s="140">
        <f t="shared" si="0"/>
        <v>50</v>
      </c>
    </row>
    <row r="26" spans="1:9" ht="28.8" x14ac:dyDescent="0.3">
      <c r="A26" s="134">
        <v>25</v>
      </c>
      <c r="B26" s="135" t="s">
        <v>160</v>
      </c>
      <c r="C26" s="136" t="s">
        <v>155</v>
      </c>
      <c r="D26" s="135" t="s">
        <v>156</v>
      </c>
      <c r="E26" s="136" t="s">
        <v>166</v>
      </c>
      <c r="F26" s="137">
        <f>'Puntaje asignado indicador'!D27</f>
        <v>4.1803278688524594</v>
      </c>
      <c r="G26" s="138">
        <f>'Puntaje asignado indicador'!G27</f>
        <v>6</v>
      </c>
      <c r="H26" s="139">
        <f>Tabla1[[#This Row],[Aproximación a la unidad]]</f>
        <v>24</v>
      </c>
      <c r="I26" s="140">
        <f t="shared" si="0"/>
        <v>25</v>
      </c>
    </row>
    <row r="27" spans="1:9" ht="28.8" x14ac:dyDescent="0.3">
      <c r="A27" s="134">
        <v>26</v>
      </c>
      <c r="B27" s="135" t="s">
        <v>160</v>
      </c>
      <c r="C27" s="136" t="s">
        <v>155</v>
      </c>
      <c r="D27" s="135" t="s">
        <v>156</v>
      </c>
      <c r="E27" s="136" t="s">
        <v>167</v>
      </c>
      <c r="F27" s="137">
        <f>'Puntaje asignado indicador'!D28</f>
        <v>1.3301886792452831</v>
      </c>
      <c r="G27" s="138">
        <f>'Puntaje asignado indicador'!G28</f>
        <v>18</v>
      </c>
      <c r="H27" s="139">
        <f>Tabla1[[#This Row],[Aproximación a la unidad]]</f>
        <v>24</v>
      </c>
      <c r="I27" s="140">
        <f t="shared" si="0"/>
        <v>75</v>
      </c>
    </row>
    <row r="28" spans="1:9" ht="28.8" x14ac:dyDescent="0.3">
      <c r="A28" s="22">
        <v>27</v>
      </c>
      <c r="B28" s="23" t="s">
        <v>168</v>
      </c>
      <c r="C28" s="24" t="s">
        <v>155</v>
      </c>
      <c r="D28" s="23" t="s">
        <v>161</v>
      </c>
      <c r="E28" s="23" t="s">
        <v>169</v>
      </c>
      <c r="F28" s="130">
        <f>'Puntaje asignado indicador'!D29</f>
        <v>-1.2113578074583521E-3</v>
      </c>
      <c r="G28" s="26">
        <f>'Puntaje asignado indicador'!G29</f>
        <v>2</v>
      </c>
      <c r="H28" s="25">
        <f>Tabla1[[#This Row],[Aproximación a la unidad]]</f>
        <v>14</v>
      </c>
      <c r="I28" s="39">
        <f t="shared" si="0"/>
        <v>14.285714285714285</v>
      </c>
    </row>
    <row r="29" spans="1:9" x14ac:dyDescent="0.3">
      <c r="A29" s="22">
        <v>28</v>
      </c>
      <c r="B29" s="23" t="s">
        <v>168</v>
      </c>
      <c r="C29" s="24" t="s">
        <v>155</v>
      </c>
      <c r="D29" s="23" t="s">
        <v>161</v>
      </c>
      <c r="E29" s="23" t="s">
        <v>170</v>
      </c>
      <c r="F29" s="130">
        <f>'Puntaje asignado indicador'!D30</f>
        <v>0.15702089713508027</v>
      </c>
      <c r="G29" s="26">
        <f>'Puntaje asignado indicador'!G30</f>
        <v>6</v>
      </c>
      <c r="H29" s="25">
        <f>Tabla1[[#This Row],[Aproximación a la unidad]]</f>
        <v>14</v>
      </c>
      <c r="I29" s="39">
        <f t="shared" si="0"/>
        <v>42.857142857142854</v>
      </c>
    </row>
    <row r="30" spans="1:9" ht="28.8" x14ac:dyDescent="0.3">
      <c r="A30" s="22">
        <v>29</v>
      </c>
      <c r="B30" s="23" t="s">
        <v>168</v>
      </c>
      <c r="C30" s="24" t="s">
        <v>155</v>
      </c>
      <c r="D30" s="23" t="s">
        <v>161</v>
      </c>
      <c r="E30" s="23" t="s">
        <v>171</v>
      </c>
      <c r="F30" s="130">
        <f>'Puntaje asignado indicador'!D31</f>
        <v>9.2625350114814964</v>
      </c>
      <c r="G30" s="26">
        <f>'Puntaje asignado indicador'!G31</f>
        <v>10</v>
      </c>
      <c r="H30" s="25">
        <f>Tabla1[[#This Row],[Aproximación a la unidad]]</f>
        <v>17</v>
      </c>
      <c r="I30" s="39">
        <f t="shared" si="0"/>
        <v>58.82352941176471</v>
      </c>
    </row>
    <row r="31" spans="1:9" ht="28.8" x14ac:dyDescent="0.3">
      <c r="A31" s="114">
        <v>30</v>
      </c>
      <c r="B31" s="115" t="s">
        <v>168</v>
      </c>
      <c r="C31" s="116" t="s">
        <v>155</v>
      </c>
      <c r="D31" s="115" t="s">
        <v>161</v>
      </c>
      <c r="E31" s="115" t="s">
        <v>172</v>
      </c>
      <c r="F31" s="133">
        <f>'Puntaje asignado indicador'!D32</f>
        <v>36.444799521355506</v>
      </c>
      <c r="G31" s="152">
        <f>'Puntaje asignado indicador'!G32</f>
        <v>11</v>
      </c>
      <c r="H31" s="118">
        <f>Tabla1[[#This Row],[Aproximación a la unidad]]</f>
        <v>17</v>
      </c>
      <c r="I31" s="119">
        <f t="shared" si="0"/>
        <v>64.705882352941174</v>
      </c>
    </row>
    <row r="32" spans="1:9" ht="28.8" x14ac:dyDescent="0.3">
      <c r="A32" s="114">
        <v>31</v>
      </c>
      <c r="B32" s="115" t="s">
        <v>168</v>
      </c>
      <c r="C32" s="116" t="s">
        <v>155</v>
      </c>
      <c r="D32" s="115" t="s">
        <v>161</v>
      </c>
      <c r="E32" s="115" t="s">
        <v>173</v>
      </c>
      <c r="F32" s="133">
        <f>'Puntaje asignado indicador'!D33</f>
        <v>7302438.8299999991</v>
      </c>
      <c r="G32" s="152">
        <f>'Puntaje asignado indicador'!G33</f>
        <v>10</v>
      </c>
      <c r="H32" s="118">
        <f>Tabla1[[#This Row],[Aproximación a la unidad]]</f>
        <v>17</v>
      </c>
      <c r="I32" s="119">
        <f t="shared" si="0"/>
        <v>58.82352941176471</v>
      </c>
    </row>
    <row r="33" spans="1:9" ht="28.8" x14ac:dyDescent="0.3">
      <c r="A33" s="22">
        <v>32</v>
      </c>
      <c r="B33" s="23" t="s">
        <v>168</v>
      </c>
      <c r="C33" s="24" t="s">
        <v>125</v>
      </c>
      <c r="D33" s="23" t="s">
        <v>142</v>
      </c>
      <c r="E33" s="23" t="s">
        <v>174</v>
      </c>
      <c r="F33" s="130">
        <f>'Puntaje asignado indicador'!D34</f>
        <v>8.3333333333333321</v>
      </c>
      <c r="G33" s="26">
        <f>'Puntaje asignado indicador'!G34</f>
        <v>13</v>
      </c>
      <c r="H33" s="25">
        <f>Tabla1[[#This Row],[Aproximación a la unidad]]</f>
        <v>17</v>
      </c>
      <c r="I33" s="39">
        <f t="shared" si="0"/>
        <v>76.470588235294116</v>
      </c>
    </row>
    <row r="34" spans="1:9" x14ac:dyDescent="0.3">
      <c r="A34" s="22">
        <v>33</v>
      </c>
      <c r="B34" s="23" t="s">
        <v>175</v>
      </c>
      <c r="C34" s="24" t="s">
        <v>131</v>
      </c>
      <c r="D34" s="23" t="s">
        <v>147</v>
      </c>
      <c r="E34" s="23" t="s">
        <v>176</v>
      </c>
      <c r="F34" s="130">
        <f>'Puntaje asignado indicador'!D35</f>
        <v>117.03662591364892</v>
      </c>
      <c r="G34" s="26">
        <f>'Puntaje asignado indicador'!G35</f>
        <v>21</v>
      </c>
      <c r="H34" s="25">
        <f>Tabla1[[#This Row],[Aproximación a la unidad]]</f>
        <v>21</v>
      </c>
      <c r="I34" s="39">
        <f t="shared" si="0"/>
        <v>100</v>
      </c>
    </row>
    <row r="35" spans="1:9" ht="28.8" x14ac:dyDescent="0.3">
      <c r="A35" s="22">
        <v>34</v>
      </c>
      <c r="B35" s="23" t="s">
        <v>175</v>
      </c>
      <c r="C35" s="24" t="s">
        <v>131</v>
      </c>
      <c r="D35" s="23" t="s">
        <v>147</v>
      </c>
      <c r="E35" s="23" t="s">
        <v>177</v>
      </c>
      <c r="F35" s="130">
        <f>'Puntaje asignado indicador'!D36</f>
        <v>98.519793895563382</v>
      </c>
      <c r="G35" s="26">
        <f>'Puntaje asignado indicador'!G36</f>
        <v>19</v>
      </c>
      <c r="H35" s="25">
        <f>Tabla1[[#This Row],[Aproximación a la unidad]]</f>
        <v>19</v>
      </c>
      <c r="I35" s="39">
        <f t="shared" si="0"/>
        <v>100</v>
      </c>
    </row>
    <row r="36" spans="1:9" ht="28.8" x14ac:dyDescent="0.3">
      <c r="A36" s="22">
        <v>35</v>
      </c>
      <c r="B36" s="23" t="s">
        <v>175</v>
      </c>
      <c r="C36" s="24" t="s">
        <v>131</v>
      </c>
      <c r="D36" s="23" t="s">
        <v>147</v>
      </c>
      <c r="E36" s="23" t="s">
        <v>178</v>
      </c>
      <c r="F36" s="130">
        <f>'Puntaje asignado indicador'!D37</f>
        <v>186.09271523178808</v>
      </c>
      <c r="G36" s="26">
        <f>'Puntaje asignado indicador'!G37</f>
        <v>14</v>
      </c>
      <c r="H36" s="25">
        <f>Tabla1[[#This Row],[Aproximación a la unidad]]</f>
        <v>14</v>
      </c>
      <c r="I36" s="39">
        <f t="shared" si="0"/>
        <v>100</v>
      </c>
    </row>
    <row r="37" spans="1:9" ht="28.8" x14ac:dyDescent="0.3">
      <c r="A37" s="22">
        <v>36</v>
      </c>
      <c r="B37" s="23" t="s">
        <v>175</v>
      </c>
      <c r="C37" s="24" t="s">
        <v>131</v>
      </c>
      <c r="D37" s="23" t="s">
        <v>147</v>
      </c>
      <c r="E37" s="23" t="s">
        <v>179</v>
      </c>
      <c r="F37" s="130">
        <f>'Puntaje asignado indicador'!D38</f>
        <v>6.2583221438961623</v>
      </c>
      <c r="G37" s="26">
        <f>'Puntaje asignado indicador'!G38</f>
        <v>17</v>
      </c>
      <c r="H37" s="25">
        <f>Tabla1[[#This Row],[Aproximación a la unidad]]</f>
        <v>17</v>
      </c>
      <c r="I37" s="39">
        <f t="shared" si="0"/>
        <v>100</v>
      </c>
    </row>
    <row r="38" spans="1:9" ht="28.8" x14ac:dyDescent="0.3">
      <c r="A38" s="22">
        <v>37</v>
      </c>
      <c r="B38" s="23" t="s">
        <v>175</v>
      </c>
      <c r="C38" s="24" t="s">
        <v>131</v>
      </c>
      <c r="D38" s="23" t="s">
        <v>147</v>
      </c>
      <c r="E38" s="23" t="s">
        <v>180</v>
      </c>
      <c r="F38" s="130">
        <f>'Puntaje asignado indicador'!D39</f>
        <v>52.521350284511733</v>
      </c>
      <c r="G38" s="26">
        <f>'Puntaje asignado indicador'!G39</f>
        <v>3.5</v>
      </c>
      <c r="H38" s="25">
        <f>Tabla1[[#This Row],[Aproximación a la unidad]]</f>
        <v>11</v>
      </c>
      <c r="I38" s="39">
        <f t="shared" si="0"/>
        <v>31.818181818181817</v>
      </c>
    </row>
    <row r="39" spans="1:9" ht="28.8" x14ac:dyDescent="0.3">
      <c r="A39" s="22">
        <v>38</v>
      </c>
      <c r="B39" s="23" t="s">
        <v>181</v>
      </c>
      <c r="C39" s="24" t="s">
        <v>125</v>
      </c>
      <c r="D39" s="23" t="s">
        <v>142</v>
      </c>
      <c r="E39" s="23" t="s">
        <v>182</v>
      </c>
      <c r="F39" s="130">
        <f>'Puntaje asignado indicador'!D40</f>
        <v>6.3941406361600786</v>
      </c>
      <c r="G39" s="26">
        <f>'Puntaje asignado indicador'!G40</f>
        <v>10</v>
      </c>
      <c r="H39" s="25">
        <f>Tabla1[[#This Row],[Aproximación a la unidad]]</f>
        <v>14</v>
      </c>
      <c r="I39" s="39">
        <f t="shared" si="0"/>
        <v>71.428571428571431</v>
      </c>
    </row>
    <row r="40" spans="1:9" ht="28.8" x14ac:dyDescent="0.3">
      <c r="A40" s="22">
        <v>39</v>
      </c>
      <c r="B40" s="23" t="s">
        <v>181</v>
      </c>
      <c r="C40" s="24" t="s">
        <v>125</v>
      </c>
      <c r="D40" s="23" t="s">
        <v>142</v>
      </c>
      <c r="E40" s="23" t="s">
        <v>183</v>
      </c>
      <c r="F40" s="130">
        <f>'Puntaje asignado indicador'!D41</f>
        <v>2.8199654084096006</v>
      </c>
      <c r="G40" s="26">
        <f>'Puntaje asignado indicador'!G41</f>
        <v>6</v>
      </c>
      <c r="H40" s="25">
        <f>Tabla1[[#This Row],[Aproximación a la unidad]]</f>
        <v>24</v>
      </c>
      <c r="I40" s="39">
        <f t="shared" si="0"/>
        <v>25</v>
      </c>
    </row>
    <row r="41" spans="1:9" ht="28.8" x14ac:dyDescent="0.3">
      <c r="A41" s="22">
        <v>40</v>
      </c>
      <c r="B41" s="23" t="s">
        <v>181</v>
      </c>
      <c r="C41" s="24" t="s">
        <v>155</v>
      </c>
      <c r="D41" s="23" t="s">
        <v>156</v>
      </c>
      <c r="E41" s="23" t="s">
        <v>184</v>
      </c>
      <c r="F41" s="130">
        <f>'Puntaje asignado indicador'!D42</f>
        <v>62.891867142620704</v>
      </c>
      <c r="G41" s="26">
        <f>'Puntaje asignado indicador'!G42</f>
        <v>7</v>
      </c>
      <c r="H41" s="25">
        <f>Tabla1[[#This Row],[Aproximación a la unidad]]</f>
        <v>21</v>
      </c>
      <c r="I41" s="39">
        <f t="shared" si="0"/>
        <v>33.333333333333329</v>
      </c>
    </row>
    <row r="42" spans="1:9" x14ac:dyDescent="0.3">
      <c r="A42" s="22">
        <v>41</v>
      </c>
      <c r="B42" s="23" t="s">
        <v>181</v>
      </c>
      <c r="C42" s="24" t="s">
        <v>131</v>
      </c>
      <c r="D42" s="23" t="s">
        <v>185</v>
      </c>
      <c r="E42" s="23" t="s">
        <v>186</v>
      </c>
      <c r="F42" s="130">
        <f>'Puntaje asignado indicador'!D43</f>
        <v>-5.1747093379535789</v>
      </c>
      <c r="G42" s="26">
        <f>'Puntaje asignado indicador'!G43</f>
        <v>7</v>
      </c>
      <c r="H42" s="25">
        <f>Tabla1[[#This Row],[Aproximación a la unidad]]</f>
        <v>21</v>
      </c>
      <c r="I42" s="39">
        <f t="shared" si="0"/>
        <v>33.333333333333329</v>
      </c>
    </row>
    <row r="43" spans="1:9" x14ac:dyDescent="0.3">
      <c r="A43" s="22">
        <v>42</v>
      </c>
      <c r="B43" s="23" t="s">
        <v>181</v>
      </c>
      <c r="C43" s="24" t="s">
        <v>131</v>
      </c>
      <c r="D43" s="23" t="s">
        <v>187</v>
      </c>
      <c r="E43" s="23" t="s">
        <v>188</v>
      </c>
      <c r="F43" s="130">
        <f>'Puntaje asignado indicador'!D44</f>
        <v>6.8212153832885143</v>
      </c>
      <c r="G43" s="26">
        <f>'Puntaje asignado indicador'!G44</f>
        <v>6</v>
      </c>
      <c r="H43" s="25">
        <f>Tabla1[[#This Row],[Aproximación a la unidad]]</f>
        <v>21</v>
      </c>
      <c r="I43" s="39">
        <f t="shared" si="0"/>
        <v>28.571428571428569</v>
      </c>
    </row>
    <row r="44" spans="1:9" x14ac:dyDescent="0.3">
      <c r="A44" s="22">
        <v>43</v>
      </c>
      <c r="B44" s="23" t="s">
        <v>181</v>
      </c>
      <c r="C44" s="24" t="s">
        <v>131</v>
      </c>
      <c r="D44" s="23" t="s">
        <v>185</v>
      </c>
      <c r="E44" s="23" t="s">
        <v>189</v>
      </c>
      <c r="F44" s="130">
        <f>'Puntaje asignado indicador'!D45</f>
        <v>12.762134706125511</v>
      </c>
      <c r="G44" s="26">
        <f>'Puntaje asignado indicador'!G45</f>
        <v>6</v>
      </c>
      <c r="H44" s="25">
        <f>Tabla1[[#This Row],[Aproximación a la unidad]]</f>
        <v>21</v>
      </c>
      <c r="I44" s="39">
        <f t="shared" si="0"/>
        <v>28.571428571428569</v>
      </c>
    </row>
    <row r="45" spans="1:9" ht="43.2" x14ac:dyDescent="0.3">
      <c r="A45" s="22">
        <v>44</v>
      </c>
      <c r="B45" s="23" t="s">
        <v>190</v>
      </c>
      <c r="C45" s="24" t="s">
        <v>121</v>
      </c>
      <c r="D45" s="23" t="s">
        <v>191</v>
      </c>
      <c r="E45" s="23" t="s">
        <v>192</v>
      </c>
      <c r="F45" s="130">
        <f>'Puntaje asignado indicador'!D46</f>
        <v>7</v>
      </c>
      <c r="G45" s="26">
        <f>'Puntaje asignado indicador'!G46</f>
        <v>7</v>
      </c>
      <c r="H45" s="25">
        <f>Tabla1[[#This Row],[Aproximación a la unidad]]</f>
        <v>24</v>
      </c>
      <c r="I45" s="39">
        <f t="shared" si="0"/>
        <v>29.166666666666668</v>
      </c>
    </row>
    <row r="46" spans="1:9" ht="57.6" x14ac:dyDescent="0.3">
      <c r="A46" s="22">
        <v>45</v>
      </c>
      <c r="B46" s="23" t="s">
        <v>190</v>
      </c>
      <c r="C46" s="24" t="s">
        <v>121</v>
      </c>
      <c r="D46" s="23" t="s">
        <v>191</v>
      </c>
      <c r="E46" s="23" t="s">
        <v>193</v>
      </c>
      <c r="F46" s="130">
        <f>'Puntaje asignado indicador'!D47</f>
        <v>7</v>
      </c>
      <c r="G46" s="26">
        <f>'Puntaje asignado indicador'!G47</f>
        <v>7</v>
      </c>
      <c r="H46" s="25">
        <f>Tabla1[[#This Row],[Aproximación a la unidad]]</f>
        <v>24</v>
      </c>
      <c r="I46" s="39">
        <f t="shared" si="0"/>
        <v>29.166666666666668</v>
      </c>
    </row>
    <row r="47" spans="1:9" ht="28.8" x14ac:dyDescent="0.3">
      <c r="A47" s="22">
        <v>46</v>
      </c>
      <c r="B47" s="23" t="s">
        <v>190</v>
      </c>
      <c r="C47" s="24" t="s">
        <v>121</v>
      </c>
      <c r="D47" s="23" t="s">
        <v>194</v>
      </c>
      <c r="E47" s="23" t="s">
        <v>195</v>
      </c>
      <c r="F47" s="130">
        <f>'Puntaje asignado indicador'!D48</f>
        <v>21.486380036126114</v>
      </c>
      <c r="G47" s="26">
        <f>'Puntaje asignado indicador'!G48</f>
        <v>5</v>
      </c>
      <c r="H47" s="25">
        <f>Tabla1[[#This Row],[Aproximación a la unidad]]</f>
        <v>21</v>
      </c>
      <c r="I47" s="39">
        <f t="shared" si="0"/>
        <v>23.809523809523807</v>
      </c>
    </row>
    <row r="48" spans="1:9" ht="28.8" x14ac:dyDescent="0.3">
      <c r="A48" s="22">
        <v>47</v>
      </c>
      <c r="B48" s="23" t="s">
        <v>190</v>
      </c>
      <c r="C48" s="24" t="s">
        <v>125</v>
      </c>
      <c r="D48" s="23" t="s">
        <v>196</v>
      </c>
      <c r="E48" s="23" t="s">
        <v>197</v>
      </c>
      <c r="F48" s="130">
        <f>'Puntaje asignado indicador'!D49</f>
        <v>5</v>
      </c>
      <c r="G48" s="26">
        <f>'Puntaje asignado indicador'!G49</f>
        <v>5</v>
      </c>
      <c r="H48" s="25">
        <f>Tabla1[[#This Row],[Aproximación a la unidad]]</f>
        <v>14</v>
      </c>
      <c r="I48" s="39">
        <f t="shared" si="0"/>
        <v>35.714285714285715</v>
      </c>
    </row>
    <row r="49" spans="1:9" ht="28.8" x14ac:dyDescent="0.3">
      <c r="A49" s="22">
        <v>48</v>
      </c>
      <c r="B49" s="23" t="s">
        <v>198</v>
      </c>
      <c r="C49" s="24" t="s">
        <v>131</v>
      </c>
      <c r="D49" s="23" t="s">
        <v>147</v>
      </c>
      <c r="E49" s="23" t="s">
        <v>199</v>
      </c>
      <c r="F49" s="130">
        <f>'Puntaje asignado indicador'!D50</f>
        <v>13.94212180511574</v>
      </c>
      <c r="G49" s="26">
        <f>'Puntaje asignado indicador'!G50</f>
        <v>24</v>
      </c>
      <c r="H49" s="25">
        <f>Tabla1[[#This Row],[Aproximación a la unidad]]</f>
        <v>24</v>
      </c>
      <c r="I49" s="39">
        <f t="shared" si="0"/>
        <v>100</v>
      </c>
    </row>
    <row r="50" spans="1:9" ht="28.8" x14ac:dyDescent="0.3">
      <c r="A50" s="114">
        <v>49</v>
      </c>
      <c r="B50" s="115" t="s">
        <v>198</v>
      </c>
      <c r="C50" s="116" t="s">
        <v>131</v>
      </c>
      <c r="D50" s="115" t="s">
        <v>147</v>
      </c>
      <c r="E50" s="115" t="s">
        <v>200</v>
      </c>
      <c r="F50" s="133">
        <f>'Puntaje asignado indicador'!D51</f>
        <v>3.5991965978889122</v>
      </c>
      <c r="G50" s="117">
        <f>'Puntaje asignado indicador'!G51</f>
        <v>22</v>
      </c>
      <c r="H50" s="118">
        <f>Tabla1[[#This Row],[Aproximación a la unidad]]</f>
        <v>22</v>
      </c>
      <c r="I50" s="119">
        <f t="shared" si="0"/>
        <v>100</v>
      </c>
    </row>
    <row r="51" spans="1:9" ht="28.8" x14ac:dyDescent="0.3">
      <c r="A51" s="22">
        <v>50</v>
      </c>
      <c r="B51" s="23" t="s">
        <v>198</v>
      </c>
      <c r="C51" s="24" t="s">
        <v>125</v>
      </c>
      <c r="D51" s="23" t="s">
        <v>142</v>
      </c>
      <c r="E51" s="23" t="s">
        <v>201</v>
      </c>
      <c r="F51" s="130">
        <f>'Puntaje asignado indicador'!D52</f>
        <v>0.40307073095131329</v>
      </c>
      <c r="G51" s="26">
        <f>'Puntaje asignado indicador'!G52</f>
        <v>24</v>
      </c>
      <c r="H51" s="25">
        <f>Tabla1[[#This Row],[Aproximación a la unidad]]</f>
        <v>24</v>
      </c>
      <c r="I51" s="39">
        <f t="shared" si="0"/>
        <v>100</v>
      </c>
    </row>
    <row r="52" spans="1:9" ht="28.8" x14ac:dyDescent="0.3">
      <c r="A52" s="22">
        <v>51</v>
      </c>
      <c r="B52" s="23" t="s">
        <v>198</v>
      </c>
      <c r="C52" s="24" t="s">
        <v>125</v>
      </c>
      <c r="D52" s="23" t="s">
        <v>202</v>
      </c>
      <c r="E52" s="23" t="s">
        <v>203</v>
      </c>
      <c r="F52" s="130">
        <f>'Puntaje asignado indicador'!D53</f>
        <v>54.54545454545454</v>
      </c>
      <c r="G52" s="26">
        <f>'Puntaje asignado indicador'!G53</f>
        <v>14</v>
      </c>
      <c r="H52" s="25">
        <f>Tabla1[[#This Row],[Aproximación a la unidad]]</f>
        <v>21</v>
      </c>
      <c r="I52" s="39">
        <f t="shared" si="0"/>
        <v>66.666666666666657</v>
      </c>
    </row>
    <row r="53" spans="1:9" x14ac:dyDescent="0.3">
      <c r="A53" s="22"/>
      <c r="B53" s="23"/>
      <c r="C53" s="24"/>
      <c r="D53" s="23"/>
      <c r="E53" s="23"/>
      <c r="F53" s="32"/>
      <c r="G53" s="25"/>
      <c r="H53" s="25"/>
      <c r="I53" s="39"/>
    </row>
    <row r="54" spans="1:9" x14ac:dyDescent="0.3">
      <c r="G54" s="31">
        <f>SUBTOTAL(109,Tabla2[Puntaje para la gobernanza])</f>
        <v>556.6</v>
      </c>
      <c r="H54" s="31">
        <f>SUBTOTAL(109,Tabla2[Puntaje máximo del indicador])</f>
        <v>1000</v>
      </c>
      <c r="I54" s="31">
        <f>SUBTOTAL(101,Tabla2[Porcentaje alcanzado])</f>
        <v>55.559415341331203</v>
      </c>
    </row>
    <row r="56" spans="1:9" x14ac:dyDescent="0.3">
      <c r="G56" s="81">
        <f>Tabla2[[#Totals],[Puntaje para la gobernanza]]/Tabla2[[#Totals],[Puntaje máximo del indicador]]</f>
        <v>0.55659999999999998</v>
      </c>
    </row>
  </sheetData>
  <phoneticPr fontId="1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58B37-A53D-46D5-9326-D9679D4AF825}">
  <dimension ref="A1:C48"/>
  <sheetViews>
    <sheetView workbookViewId="0">
      <selection activeCell="B20" sqref="B20"/>
    </sheetView>
  </sheetViews>
  <sheetFormatPr baseColWidth="10" defaultRowHeight="14.4" x14ac:dyDescent="0.3"/>
  <cols>
    <col min="1" max="1" width="16.5546875" bestFit="1" customWidth="1"/>
    <col min="2" max="2" width="30.5546875" bestFit="1" customWidth="1"/>
    <col min="3" max="3" width="42.6640625" customWidth="1"/>
  </cols>
  <sheetData>
    <row r="1" spans="1:3" x14ac:dyDescent="0.3">
      <c r="A1" s="48" t="s">
        <v>283</v>
      </c>
      <c r="B1" t="s">
        <v>1225</v>
      </c>
    </row>
    <row r="2" spans="1:3" x14ac:dyDescent="0.3">
      <c r="A2" s="49" t="s">
        <v>130</v>
      </c>
      <c r="B2" s="81">
        <v>43.859649122807014</v>
      </c>
      <c r="C2" t="str">
        <f>IF(B2&gt;=80,"Verde (≥80%) – gobernanza ambiental sólida",
   IF(B2&gt;=40,"Amarillo (40–79%) – gobernanza intermedia con brechas por superar",
      "Rojo (&lt;40%) – gobernanza débil, con alto riesgo socioambiental"))</f>
        <v>Amarillo (40–79%) – gobernanza intermedia con brechas por superar</v>
      </c>
    </row>
    <row r="3" spans="1:3" x14ac:dyDescent="0.3">
      <c r="A3" s="49" t="s">
        <v>120</v>
      </c>
      <c r="B3" s="81">
        <v>43.814536340852136</v>
      </c>
      <c r="C3" t="str">
        <f t="shared" ref="C3:C12" si="0">IF(B3&gt;=80,"Verde (≥80%) – gobernanza ambiental sólida",
   IF(B3&gt;=40,"Amarillo (40–79%) – gobernanza intermedia con brechas por superar",
      "Rojo (&lt;40%) – gobernanza débil, con alto riesgo socioambiental"))</f>
        <v>Amarillo (40–79%) – gobernanza intermedia con brechas por superar</v>
      </c>
    </row>
    <row r="4" spans="1:3" x14ac:dyDescent="0.3">
      <c r="A4" s="49" t="s">
        <v>146</v>
      </c>
      <c r="B4" s="81">
        <v>68.73684210526315</v>
      </c>
      <c r="C4" t="str">
        <f t="shared" si="0"/>
        <v>Amarillo (40–79%) – gobernanza intermedia con brechas por superar</v>
      </c>
    </row>
    <row r="5" spans="1:3" x14ac:dyDescent="0.3">
      <c r="A5" s="49" t="s">
        <v>160</v>
      </c>
      <c r="B5" s="81">
        <v>35.064935064935064</v>
      </c>
      <c r="C5" t="str">
        <f t="shared" si="0"/>
        <v>Rojo (&lt;40%) – gobernanza débil, con alto riesgo socioambiental</v>
      </c>
    </row>
    <row r="6" spans="1:3" x14ac:dyDescent="0.3">
      <c r="A6" s="49" t="s">
        <v>175</v>
      </c>
      <c r="B6" s="81">
        <v>86.36363636363636</v>
      </c>
      <c r="C6" t="str">
        <f t="shared" si="0"/>
        <v>Verde (≥80%) – gobernanza ambiental sólida</v>
      </c>
    </row>
    <row r="7" spans="1:3" x14ac:dyDescent="0.3">
      <c r="A7" s="49" t="s">
        <v>153</v>
      </c>
      <c r="B7" s="81">
        <v>60.735171261487046</v>
      </c>
      <c r="C7" t="str">
        <f t="shared" si="0"/>
        <v>Amarillo (40–79%) – gobernanza intermedia con brechas por superar</v>
      </c>
    </row>
    <row r="8" spans="1:3" x14ac:dyDescent="0.3">
      <c r="A8" s="49" t="s">
        <v>137</v>
      </c>
      <c r="B8" s="81">
        <v>86.931818181818187</v>
      </c>
      <c r="C8" t="str">
        <f t="shared" si="0"/>
        <v>Verde (≥80%) – gobernanza ambiental sólida</v>
      </c>
    </row>
    <row r="9" spans="1:3" x14ac:dyDescent="0.3">
      <c r="A9" s="49" t="s">
        <v>198</v>
      </c>
      <c r="B9" s="81">
        <v>68.75</v>
      </c>
      <c r="C9" t="str">
        <f t="shared" si="0"/>
        <v>Amarillo (40–79%) – gobernanza intermedia con brechas por superar</v>
      </c>
    </row>
    <row r="10" spans="1:3" x14ac:dyDescent="0.3">
      <c r="A10" s="49" t="s">
        <v>181</v>
      </c>
      <c r="B10" s="81">
        <v>40.873015873015866</v>
      </c>
      <c r="C10" t="str">
        <f t="shared" si="0"/>
        <v>Amarillo (40–79%) – gobernanza intermedia con brechas por superar</v>
      </c>
    </row>
    <row r="11" spans="1:3" x14ac:dyDescent="0.3">
      <c r="A11" s="49" t="s">
        <v>190</v>
      </c>
      <c r="B11" s="81">
        <v>36.011904761904766</v>
      </c>
      <c r="C11" t="str">
        <f t="shared" si="0"/>
        <v>Rojo (&lt;40%) – gobernanza débil, con alto riesgo socioambiental</v>
      </c>
    </row>
    <row r="12" spans="1:3" x14ac:dyDescent="0.3">
      <c r="A12" s="49" t="s">
        <v>168</v>
      </c>
      <c r="B12" s="81">
        <v>64.425770308123248</v>
      </c>
      <c r="C12" t="str">
        <f t="shared" si="0"/>
        <v>Amarillo (40–79%) – gobernanza intermedia con brechas por superar</v>
      </c>
    </row>
    <row r="13" spans="1:3" x14ac:dyDescent="0.3">
      <c r="A13" s="49" t="s">
        <v>284</v>
      </c>
      <c r="B13" s="31">
        <v>57.20228930299956</v>
      </c>
    </row>
    <row r="17" spans="1:2" x14ac:dyDescent="0.3">
      <c r="A17" s="48" t="s">
        <v>3</v>
      </c>
      <c r="B17" t="s">
        <v>130</v>
      </c>
    </row>
    <row r="19" spans="1:2" x14ac:dyDescent="0.3">
      <c r="A19" s="48" t="s">
        <v>283</v>
      </c>
      <c r="B19" t="s">
        <v>1225</v>
      </c>
    </row>
    <row r="20" spans="1:2" x14ac:dyDescent="0.3">
      <c r="A20" s="49" t="s">
        <v>131</v>
      </c>
      <c r="B20" s="31">
        <v>60.526315789473685</v>
      </c>
    </row>
    <row r="21" spans="1:2" x14ac:dyDescent="0.3">
      <c r="A21" s="49" t="s">
        <v>125</v>
      </c>
      <c r="B21" s="31">
        <v>10.526315789473683</v>
      </c>
    </row>
    <row r="22" spans="1:2" x14ac:dyDescent="0.3">
      <c r="A22" s="49" t="s">
        <v>284</v>
      </c>
      <c r="B22" s="31">
        <v>43.859649122807014</v>
      </c>
    </row>
    <row r="29" spans="1:2" x14ac:dyDescent="0.3">
      <c r="A29" s="48" t="s">
        <v>283</v>
      </c>
      <c r="B29" t="s">
        <v>1225</v>
      </c>
    </row>
    <row r="30" spans="1:2" x14ac:dyDescent="0.3">
      <c r="A30" s="49" t="s">
        <v>156</v>
      </c>
      <c r="B30" s="31">
        <v>41.081871345029242</v>
      </c>
    </row>
    <row r="31" spans="1:2" x14ac:dyDescent="0.3">
      <c r="A31" s="49" t="s">
        <v>194</v>
      </c>
      <c r="B31" s="31">
        <v>28.571428571428569</v>
      </c>
    </row>
    <row r="32" spans="1:2" x14ac:dyDescent="0.3">
      <c r="A32" s="49" t="s">
        <v>196</v>
      </c>
      <c r="B32" s="31">
        <v>7.1428571428571423</v>
      </c>
    </row>
    <row r="33" spans="1:2" x14ac:dyDescent="0.3">
      <c r="A33" s="49" t="s">
        <v>132</v>
      </c>
      <c r="B33" s="31">
        <v>60.526315789473685</v>
      </c>
    </row>
    <row r="34" spans="1:2" x14ac:dyDescent="0.3">
      <c r="A34" s="49" t="s">
        <v>147</v>
      </c>
      <c r="B34" s="31">
        <v>76.503847030162831</v>
      </c>
    </row>
    <row r="35" spans="1:2" x14ac:dyDescent="0.3">
      <c r="A35" s="49" t="s">
        <v>161</v>
      </c>
      <c r="B35" s="31">
        <v>59.647495361781075</v>
      </c>
    </row>
    <row r="36" spans="1:2" x14ac:dyDescent="0.3">
      <c r="A36" s="49" t="s">
        <v>185</v>
      </c>
      <c r="B36" s="31">
        <v>30.952380952380949</v>
      </c>
    </row>
    <row r="37" spans="1:2" x14ac:dyDescent="0.3">
      <c r="A37" s="49" t="s">
        <v>187</v>
      </c>
      <c r="B37" s="31">
        <v>28.571428571428569</v>
      </c>
    </row>
    <row r="38" spans="1:2" x14ac:dyDescent="0.3">
      <c r="A38" s="49" t="s">
        <v>142</v>
      </c>
      <c r="B38" s="31">
        <v>46.83473389355742</v>
      </c>
    </row>
    <row r="39" spans="1:2" x14ac:dyDescent="0.3">
      <c r="A39" s="49" t="s">
        <v>122</v>
      </c>
      <c r="B39" s="31">
        <v>34.047619047619051</v>
      </c>
    </row>
    <row r="40" spans="1:2" x14ac:dyDescent="0.3">
      <c r="A40" s="49" t="s">
        <v>191</v>
      </c>
      <c r="B40" s="31">
        <v>54.166666666666671</v>
      </c>
    </row>
    <row r="41" spans="1:2" x14ac:dyDescent="0.3">
      <c r="A41" s="49" t="s">
        <v>138</v>
      </c>
      <c r="B41" s="31">
        <v>100</v>
      </c>
    </row>
    <row r="42" spans="1:2" x14ac:dyDescent="0.3">
      <c r="A42" s="49" t="s">
        <v>202</v>
      </c>
      <c r="B42" s="31">
        <v>66.666666666666657</v>
      </c>
    </row>
    <row r="43" spans="1:2" x14ac:dyDescent="0.3">
      <c r="A43" s="49" t="s">
        <v>140</v>
      </c>
      <c r="B43" s="31">
        <v>100</v>
      </c>
    </row>
    <row r="44" spans="1:2" x14ac:dyDescent="0.3">
      <c r="A44" s="49" t="s">
        <v>135</v>
      </c>
      <c r="B44" s="31">
        <v>10.526315789473683</v>
      </c>
    </row>
    <row r="45" spans="1:2" x14ac:dyDescent="0.3">
      <c r="A45" s="49" t="s">
        <v>126</v>
      </c>
      <c r="B45" s="31">
        <v>50.32581453634085</v>
      </c>
    </row>
    <row r="46" spans="1:2" x14ac:dyDescent="0.3">
      <c r="A46" s="49" t="s">
        <v>158</v>
      </c>
      <c r="B46" s="31">
        <v>100</v>
      </c>
    </row>
    <row r="47" spans="1:2" x14ac:dyDescent="0.3">
      <c r="A47" s="49" t="s">
        <v>144</v>
      </c>
      <c r="B47" s="31">
        <v>72.727272727272734</v>
      </c>
    </row>
    <row r="48" spans="1:2" x14ac:dyDescent="0.3">
      <c r="A48" s="49" t="s">
        <v>284</v>
      </c>
      <c r="B48" s="31">
        <v>57.202289302999546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Variable_indicador</vt:lpstr>
      <vt:lpstr>Puntaje asignado indicador</vt:lpstr>
      <vt:lpstr>Ponderado indicador</vt:lpstr>
      <vt:lpstr>Tb</vt:lpstr>
      <vt:lpstr>Resultado</vt:lpstr>
      <vt:lpstr>tablas dinamicas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ANGIE NATALIA CASALLAS CHAVEZ</dc:creator>
  <cp:lastModifiedBy>ANGIE NATALIA CASALLAS CHAVEZ</cp:lastModifiedBy>
  <dcterms:created xsi:type="dcterms:W3CDTF">2025-05-17T21:18:17Z</dcterms:created>
  <dcterms:modified xsi:type="dcterms:W3CDTF">2025-11-06T18:25:50Z</dcterms:modified>
</cp:coreProperties>
</file>