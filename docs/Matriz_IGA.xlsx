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2.xml" ContentType="application/vnd.openxmlformats-officedocument.spreadsheetml.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GIEN\Documents\GGC-0805-2025\Politica y Relacionamiento Ambiental\Indicador de gobernaza\INDICE DE GOBERNANZA SME 2023\IGA\docs\"/>
    </mc:Choice>
  </mc:AlternateContent>
  <xr:revisionPtr revIDLastSave="0" documentId="13_ncr:1_{9630E9ED-9A96-4BFA-8347-4F6C2A16DFF3}" xr6:coauthVersionLast="47" xr6:coauthVersionMax="47" xr10:uidLastSave="{00000000-0000-0000-0000-000000000000}"/>
  <bookViews>
    <workbookView xWindow="-108" yWindow="-108" windowWidth="23256" windowHeight="12456" activeTab="4" xr2:uid="{05641854-7AD6-4C4A-B363-B2374F45EEBE}"/>
  </bookViews>
  <sheets>
    <sheet name="Variable_indicador" sheetId="1" r:id="rId1"/>
    <sheet name="Puntaje asignado indicador" sheetId="2" r:id="rId2"/>
    <sheet name="Ponderado indicador" sheetId="3" r:id="rId3"/>
    <sheet name="Tb" sheetId="6" state="hidden" r:id="rId4"/>
    <sheet name="Resultado" sheetId="4" r:id="rId5"/>
    <sheet name="tablas dinamicas" sheetId="7" r:id="rId6"/>
  </sheets>
  <externalReferences>
    <externalReference r:id="rId7"/>
  </externalReferences>
  <definedNames>
    <definedName name="_xlnm._FilterDatabase" localSheetId="0" hidden="1">Variable_indicador!$A$2:$X$2</definedName>
    <definedName name="Dimensiones">[1]Listas!$A$2:$A$12</definedName>
    <definedName name="subsector">[1]Listas!$M$2:$M$5</definedName>
  </definedNames>
  <calcPr calcId="191029"/>
  <pivotCaches>
    <pivotCache cacheId="0" r:id="rId8"/>
    <pivotCache cacheId="1" r:id="rId9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2" i="4" l="1"/>
  <c r="G33" i="2"/>
  <c r="F41" i="4"/>
  <c r="G41" i="4"/>
  <c r="F42" i="4"/>
  <c r="G42" i="4"/>
  <c r="F43" i="4"/>
  <c r="G43" i="4"/>
  <c r="F44" i="4"/>
  <c r="G44" i="4"/>
  <c r="F45" i="4"/>
  <c r="G45" i="4"/>
  <c r="F46" i="4"/>
  <c r="G46" i="4"/>
  <c r="F47" i="4"/>
  <c r="G47" i="4"/>
  <c r="F48" i="4"/>
  <c r="G48" i="4"/>
  <c r="F49" i="4"/>
  <c r="G49" i="4"/>
  <c r="F50" i="4"/>
  <c r="G50" i="4"/>
  <c r="F51" i="4"/>
  <c r="G51" i="4"/>
  <c r="F52" i="4"/>
  <c r="G52" i="4"/>
  <c r="G53" i="2"/>
  <c r="D53" i="2"/>
  <c r="D52" i="2"/>
  <c r="G52" i="2" s="1"/>
  <c r="X899" i="1"/>
  <c r="D51" i="2"/>
  <c r="G51" i="2" s="1"/>
  <c r="D50" i="2"/>
  <c r="G50" i="2" s="1"/>
  <c r="X888" i="1"/>
  <c r="Y889" i="1" s="1"/>
  <c r="X887" i="1"/>
  <c r="X886" i="1"/>
  <c r="G49" i="2" s="1"/>
  <c r="D49" i="2" s="1"/>
  <c r="X879" i="1"/>
  <c r="X878" i="1"/>
  <c r="X877" i="1"/>
  <c r="X876" i="1"/>
  <c r="X874" i="1"/>
  <c r="X875" i="1"/>
  <c r="X873" i="1"/>
  <c r="X860" i="1"/>
  <c r="X859" i="1"/>
  <c r="X842" i="1"/>
  <c r="X845" i="1" s="1"/>
  <c r="X848" i="1" s="1"/>
  <c r="X839" i="1"/>
  <c r="X844" i="1" s="1"/>
  <c r="X847" i="1" s="1"/>
  <c r="X835" i="1"/>
  <c r="X843" i="1" s="1"/>
  <c r="X846" i="1" s="1"/>
  <c r="X816" i="1"/>
  <c r="X815" i="1"/>
  <c r="X813" i="1"/>
  <c r="X812" i="1"/>
  <c r="X810" i="1"/>
  <c r="X809" i="1"/>
  <c r="X808" i="1"/>
  <c r="X805" i="1"/>
  <c r="X802" i="1"/>
  <c r="X799" i="1"/>
  <c r="X796" i="1"/>
  <c r="X793" i="1"/>
  <c r="X790" i="1"/>
  <c r="X787" i="1"/>
  <c r="X784" i="1"/>
  <c r="X781" i="1"/>
  <c r="X778" i="1"/>
  <c r="X775" i="1"/>
  <c r="X772" i="1"/>
  <c r="X769" i="1"/>
  <c r="X766" i="1"/>
  <c r="X763" i="1"/>
  <c r="X759" i="1"/>
  <c r="X755" i="1"/>
  <c r="X751" i="1"/>
  <c r="X750" i="1"/>
  <c r="X743" i="1"/>
  <c r="X738" i="1"/>
  <c r="X739" i="1"/>
  <c r="X736" i="1"/>
  <c r="X735" i="1"/>
  <c r="X734" i="1"/>
  <c r="X731" i="1"/>
  <c r="X737" i="1" s="1"/>
  <c r="X728" i="1"/>
  <c r="X725" i="1"/>
  <c r="X740" i="1" s="1"/>
  <c r="D42" i="2"/>
  <c r="G42" i="2" s="1"/>
  <c r="D41" i="2"/>
  <c r="G41" i="2" s="1"/>
  <c r="G40" i="4" s="1"/>
  <c r="X716" i="1"/>
  <c r="X713" i="1"/>
  <c r="D39" i="2"/>
  <c r="G39" i="2" s="1"/>
  <c r="G38" i="4" s="1"/>
  <c r="D38" i="2"/>
  <c r="G38" i="2" s="1"/>
  <c r="G37" i="4" s="1"/>
  <c r="D37" i="2"/>
  <c r="G37" i="2" s="1"/>
  <c r="G36" i="4" s="1"/>
  <c r="D36" i="2"/>
  <c r="F35" i="4" s="1"/>
  <c r="D35" i="2"/>
  <c r="G35" i="2" s="1"/>
  <c r="G34" i="4" s="1"/>
  <c r="X700" i="1"/>
  <c r="X699" i="1"/>
  <c r="D34" i="2" s="1"/>
  <c r="G34" i="2" s="1"/>
  <c r="G33" i="4" s="1"/>
  <c r="D33" i="2"/>
  <c r="X678" i="1"/>
  <c r="X677" i="1"/>
  <c r="X676" i="1"/>
  <c r="X675" i="1"/>
  <c r="X674" i="1"/>
  <c r="X673" i="1"/>
  <c r="X666" i="1"/>
  <c r="X665" i="1"/>
  <c r="X652" i="1"/>
  <c r="X656" i="1" s="1"/>
  <c r="X651" i="1"/>
  <c r="X655" i="1" s="1"/>
  <c r="X636" i="1"/>
  <c r="X635" i="1"/>
  <c r="X626" i="1"/>
  <c r="X625" i="1"/>
  <c r="X622" i="1"/>
  <c r="X621" i="1"/>
  <c r="X624" i="1"/>
  <c r="X623" i="1"/>
  <c r="X603" i="1"/>
  <c r="X602" i="1"/>
  <c r="D48" i="2" l="1"/>
  <c r="G48" i="2" s="1"/>
  <c r="Y888" i="1"/>
  <c r="G47" i="2"/>
  <c r="D47" i="2" s="1"/>
  <c r="X814" i="1"/>
  <c r="X819" i="1" s="1"/>
  <c r="X822" i="1" s="1"/>
  <c r="D43" i="2"/>
  <c r="G43" i="2" s="1"/>
  <c r="D44" i="2"/>
  <c r="G44" i="2" s="1"/>
  <c r="X811" i="1"/>
  <c r="X818" i="1" s="1"/>
  <c r="X821" i="1" s="1"/>
  <c r="G46" i="2" s="1"/>
  <c r="D46" i="2" s="1"/>
  <c r="X817" i="1"/>
  <c r="X820" i="1" s="1"/>
  <c r="X823" i="1" s="1"/>
  <c r="D28" i="2"/>
  <c r="F27" i="4" s="1"/>
  <c r="D45" i="2"/>
  <c r="G45" i="2" s="1"/>
  <c r="D40" i="2"/>
  <c r="G40" i="2" s="1"/>
  <c r="G39" i="4" s="1"/>
  <c r="D30" i="2"/>
  <c r="F29" i="4" s="1"/>
  <c r="F40" i="4"/>
  <c r="F38" i="4"/>
  <c r="F37" i="4"/>
  <c r="F36" i="4"/>
  <c r="G36" i="2"/>
  <c r="G35" i="4" s="1"/>
  <c r="F33" i="4"/>
  <c r="F34" i="4"/>
  <c r="F32" i="4"/>
  <c r="X679" i="1"/>
  <c r="X680" i="1"/>
  <c r="X627" i="1"/>
  <c r="X628" i="1"/>
  <c r="X638" i="1"/>
  <c r="X637" i="1"/>
  <c r="F39" i="4" l="1"/>
  <c r="G28" i="2"/>
  <c r="G27" i="4" s="1"/>
  <c r="G30" i="2"/>
  <c r="G29" i="4" s="1"/>
  <c r="D31" i="2"/>
  <c r="F30" i="4" s="1"/>
  <c r="D29" i="2"/>
  <c r="G29" i="2" s="1"/>
  <c r="G28" i="4" s="1"/>
  <c r="H26" i="4"/>
  <c r="X578" i="1"/>
  <c r="X577" i="1"/>
  <c r="X556" i="1"/>
  <c r="X555" i="1"/>
  <c r="X550" i="1"/>
  <c r="X549" i="1"/>
  <c r="X546" i="1"/>
  <c r="X545" i="1"/>
  <c r="G31" i="2" l="1"/>
  <c r="G30" i="4" s="1"/>
  <c r="F28" i="4"/>
  <c r="X592" i="1"/>
  <c r="X593" i="1"/>
  <c r="D27" i="2" l="1"/>
  <c r="F26" i="4" s="1"/>
  <c r="G27" i="2" l="1"/>
  <c r="G26" i="4" s="1"/>
  <c r="H54" i="4"/>
  <c r="U24" i="3"/>
  <c r="F24" i="4" l="1"/>
  <c r="G24" i="4"/>
  <c r="X504" i="1"/>
  <c r="X539" i="1" s="1"/>
  <c r="X535" i="1"/>
  <c r="X533" i="1"/>
  <c r="X531" i="1"/>
  <c r="X529" i="1"/>
  <c r="X525" i="1"/>
  <c r="X523" i="1"/>
  <c r="X521" i="1"/>
  <c r="X515" i="1"/>
  <c r="X512" i="1"/>
  <c r="X541" i="1" s="1"/>
  <c r="X508" i="1"/>
  <c r="X499" i="1"/>
  <c r="X493" i="1"/>
  <c r="X542" i="1" l="1"/>
  <c r="X538" i="1"/>
  <c r="X537" i="1"/>
  <c r="X540" i="1"/>
  <c r="X492" i="1"/>
  <c r="X520" i="1"/>
  <c r="X528" i="1"/>
  <c r="X543" i="1" l="1"/>
  <c r="D26" i="2" s="1"/>
  <c r="F25" i="4" s="1"/>
  <c r="G26" i="2" l="1"/>
  <c r="G25" i="4" s="1"/>
  <c r="X478" i="1"/>
  <c r="X490" i="1" s="1"/>
  <c r="X477" i="1"/>
  <c r="X476" i="1"/>
  <c r="X475" i="1"/>
  <c r="X474" i="1"/>
  <c r="X473" i="1"/>
  <c r="X472" i="1"/>
  <c r="X471" i="1"/>
  <c r="X470" i="1"/>
  <c r="X469" i="1"/>
  <c r="X468" i="1"/>
  <c r="X467" i="1"/>
  <c r="X466" i="1"/>
  <c r="X465" i="1"/>
  <c r="X449" i="1"/>
  <c r="X448" i="1"/>
  <c r="X447" i="1"/>
  <c r="X446" i="1"/>
  <c r="X445" i="1"/>
  <c r="X444" i="1"/>
  <c r="X443" i="1"/>
  <c r="X442" i="1"/>
  <c r="X441" i="1"/>
  <c r="X426" i="1"/>
  <c r="X427" i="1"/>
  <c r="X425" i="1"/>
  <c r="X424" i="1"/>
  <c r="X422" i="1"/>
  <c r="X423" i="1"/>
  <c r="X408" i="1"/>
  <c r="X399" i="1"/>
  <c r="X390" i="1"/>
  <c r="X381" i="1"/>
  <c r="X372" i="1"/>
  <c r="X363" i="1"/>
  <c r="X354" i="1"/>
  <c r="X345" i="1"/>
  <c r="X336" i="1"/>
  <c r="X327" i="1"/>
  <c r="X318" i="1"/>
  <c r="X309" i="1"/>
  <c r="X300" i="1"/>
  <c r="X685" i="1"/>
  <c r="X691" i="1"/>
  <c r="X290" i="1"/>
  <c r="X289" i="1"/>
  <c r="X288" i="1"/>
  <c r="X285" i="1"/>
  <c r="X282" i="1"/>
  <c r="X279" i="1"/>
  <c r="X276" i="1"/>
  <c r="X273" i="1"/>
  <c r="X270" i="1"/>
  <c r="X267" i="1"/>
  <c r="X264" i="1"/>
  <c r="X261" i="1"/>
  <c r="D22" i="2"/>
  <c r="G22" i="2" s="1"/>
  <c r="G21" i="4" s="1"/>
  <c r="X450" i="1" l="1"/>
  <c r="X491" i="1" s="1"/>
  <c r="D24" i="2" s="1"/>
  <c r="X428" i="1"/>
  <c r="X420" i="1"/>
  <c r="X430" i="1"/>
  <c r="X429" i="1"/>
  <c r="X418" i="1"/>
  <c r="X421" i="1"/>
  <c r="D23" i="2" s="1"/>
  <c r="X414" i="1"/>
  <c r="X419" i="1"/>
  <c r="X412" i="1"/>
  <c r="X410" i="1"/>
  <c r="X413" i="1"/>
  <c r="X409" i="1"/>
  <c r="X415" i="1"/>
  <c r="X416" i="1"/>
  <c r="X417" i="1"/>
  <c r="X411" i="1"/>
  <c r="X291" i="1"/>
  <c r="F21" i="4"/>
  <c r="G24" i="2" l="1"/>
  <c r="G23" i="4" s="1"/>
  <c r="F23" i="4"/>
  <c r="G23" i="2"/>
  <c r="G22" i="4" s="1"/>
  <c r="F22" i="4"/>
  <c r="X246" i="1"/>
  <c r="X245" i="1"/>
  <c r="X239" i="1"/>
  <c r="X234" i="1"/>
  <c r="X238" i="1" s="1"/>
  <c r="X223" i="1"/>
  <c r="X216" i="1"/>
  <c r="X215" i="1"/>
  <c r="X214" i="1"/>
  <c r="X213" i="1"/>
  <c r="X212" i="1"/>
  <c r="X211" i="1"/>
  <c r="X210" i="1"/>
  <c r="X208" i="1"/>
  <c r="X209" i="1"/>
  <c r="X207" i="1"/>
  <c r="X204" i="1"/>
  <c r="X201" i="1"/>
  <c r="X196" i="1"/>
  <c r="X193" i="1"/>
  <c r="X187" i="1"/>
  <c r="X183" i="1"/>
  <c r="X178" i="1"/>
  <c r="X177" i="1"/>
  <c r="X176" i="1"/>
  <c r="X171" i="1"/>
  <c r="X170" i="1"/>
  <c r="X169" i="1"/>
  <c r="X168" i="1"/>
  <c r="X167" i="1"/>
  <c r="X166" i="1"/>
  <c r="X165" i="1"/>
  <c r="X164" i="1"/>
  <c r="X163" i="1"/>
  <c r="X161" i="1"/>
  <c r="X179" i="1" s="1"/>
  <c r="X153" i="1"/>
  <c r="X150" i="1"/>
  <c r="X174" i="1" s="1"/>
  <c r="X149" i="1"/>
  <c r="X173" i="1" s="1"/>
  <c r="X148" i="1"/>
  <c r="X135" i="1"/>
  <c r="X156" i="1"/>
  <c r="X130" i="1"/>
  <c r="X131" i="1"/>
  <c r="X129" i="1"/>
  <c r="X127" i="1"/>
  <c r="X128" i="1"/>
  <c r="X126" i="1"/>
  <c r="X124" i="1"/>
  <c r="X125" i="1"/>
  <c r="X123" i="1"/>
  <c r="X110" i="1"/>
  <c r="X109" i="1"/>
  <c r="X108" i="1"/>
  <c r="D21" i="2"/>
  <c r="F20" i="4" s="1"/>
  <c r="X101" i="1"/>
  <c r="X97" i="1"/>
  <c r="X98" i="1"/>
  <c r="X99" i="1"/>
  <c r="X100" i="1"/>
  <c r="X96" i="1"/>
  <c r="D14" i="2"/>
  <c r="F13" i="4" s="1"/>
  <c r="D13" i="2"/>
  <c r="F12" i="4" l="1"/>
  <c r="G13" i="2"/>
  <c r="X244" i="1"/>
  <c r="D20" i="2" s="1"/>
  <c r="F19" i="4" s="1"/>
  <c r="D19" i="2"/>
  <c r="F18" i="4" s="1"/>
  <c r="X175" i="1"/>
  <c r="D18" i="2" s="1"/>
  <c r="X172" i="1"/>
  <c r="G17" i="2"/>
  <c r="G16" i="4" s="1"/>
  <c r="D17" i="2"/>
  <c r="F16" i="4" s="1"/>
  <c r="D16" i="2"/>
  <c r="D15" i="2"/>
  <c r="G20" i="2" l="1"/>
  <c r="G19" i="4" s="1"/>
  <c r="G19" i="2"/>
  <c r="G18" i="4" s="1"/>
  <c r="F17" i="4"/>
  <c r="G18" i="2"/>
  <c r="G17" i="4" s="1"/>
  <c r="G15" i="2"/>
  <c r="G14" i="4" s="1"/>
  <c r="F14" i="4"/>
  <c r="G16" i="2"/>
  <c r="G15" i="4" s="1"/>
  <c r="F15" i="4"/>
  <c r="X69" i="1" l="1"/>
  <c r="X63" i="1"/>
  <c r="X59" i="1"/>
  <c r="X67" i="1" s="1"/>
  <c r="X52" i="1"/>
  <c r="D10" i="2"/>
  <c r="G10" i="2" s="1"/>
  <c r="G9" i="4" s="1"/>
  <c r="X34" i="1"/>
  <c r="D9" i="2"/>
  <c r="F8" i="4" s="1"/>
  <c r="X75" i="1" l="1"/>
  <c r="X66" i="1"/>
  <c r="X71" i="1"/>
  <c r="X70" i="1"/>
  <c r="X60" i="1"/>
  <c r="X62" i="1"/>
  <c r="X64" i="1"/>
  <c r="X65" i="1"/>
  <c r="X61" i="1"/>
  <c r="X73" i="1" s="1"/>
  <c r="X68" i="1"/>
  <c r="F9" i="4"/>
  <c r="G9" i="2"/>
  <c r="G8" i="4" s="1"/>
  <c r="X74" i="1" l="1"/>
  <c r="X76" i="1"/>
  <c r="X77" i="1"/>
  <c r="X72" i="1"/>
  <c r="D12" i="2" l="1"/>
  <c r="G12" i="2" s="1"/>
  <c r="F11" i="4" l="1"/>
  <c r="G11" i="4"/>
  <c r="X29" i="1" l="1"/>
  <c r="D8" i="2" s="1"/>
  <c r="X25" i="1"/>
  <c r="D7" i="2" s="1"/>
  <c r="G7" i="2" s="1"/>
  <c r="G6" i="4" s="1"/>
  <c r="G8" i="2" l="1"/>
  <c r="G7" i="4" s="1"/>
  <c r="F7" i="4"/>
  <c r="X22" i="1" l="1"/>
  <c r="D6" i="2" s="1"/>
  <c r="F5" i="4" s="1"/>
  <c r="X18" i="1"/>
  <c r="D5" i="2" s="1"/>
  <c r="X15" i="1"/>
  <c r="E63" i="6"/>
  <c r="E64" i="6"/>
  <c r="E65" i="6"/>
  <c r="E66" i="6"/>
  <c r="E23" i="6"/>
  <c r="E24" i="6"/>
  <c r="E25" i="6"/>
  <c r="E22" i="6"/>
  <c r="E62" i="6"/>
  <c r="E57" i="6"/>
  <c r="E58" i="6"/>
  <c r="E59" i="6"/>
  <c r="E60" i="6"/>
  <c r="E56" i="6"/>
  <c r="E53" i="6"/>
  <c r="E54" i="6"/>
  <c r="E52" i="6"/>
  <c r="F66" i="6"/>
  <c r="F65" i="6"/>
  <c r="F64" i="6"/>
  <c r="F63" i="6"/>
  <c r="F62" i="6"/>
  <c r="F25" i="6"/>
  <c r="F24" i="6"/>
  <c r="F23" i="6"/>
  <c r="F22" i="6"/>
  <c r="F60" i="6"/>
  <c r="F59" i="6"/>
  <c r="F58" i="6"/>
  <c r="F57" i="6"/>
  <c r="F56" i="6"/>
  <c r="F54" i="6"/>
  <c r="F53" i="6"/>
  <c r="F52" i="6"/>
  <c r="E5" i="6"/>
  <c r="E6" i="6"/>
  <c r="E7" i="6"/>
  <c r="E8" i="6"/>
  <c r="E9" i="6"/>
  <c r="E10" i="6"/>
  <c r="E11" i="6"/>
  <c r="E12" i="6"/>
  <c r="E13" i="6"/>
  <c r="E14" i="6"/>
  <c r="E4" i="6"/>
  <c r="F12" i="6"/>
  <c r="F11" i="6"/>
  <c r="F9" i="6"/>
  <c r="F8" i="6"/>
  <c r="F7" i="6"/>
  <c r="F6" i="6"/>
  <c r="F5" i="6"/>
  <c r="F14" i="6"/>
  <c r="F13" i="6"/>
  <c r="F4" i="6"/>
  <c r="F10" i="6"/>
  <c r="G5" i="2" l="1"/>
  <c r="G4" i="4" s="1"/>
  <c r="F4" i="4"/>
  <c r="G6" i="2"/>
  <c r="G5" i="4" s="1"/>
  <c r="G5" i="6"/>
  <c r="G6" i="6"/>
  <c r="G7" i="6"/>
  <c r="G8" i="6"/>
  <c r="G9" i="6"/>
  <c r="G10" i="6"/>
  <c r="G11" i="6"/>
  <c r="G12" i="6"/>
  <c r="G13" i="6"/>
  <c r="G14" i="6"/>
  <c r="G4" i="6"/>
  <c r="X13" i="1" l="1"/>
  <c r="D4" i="2" s="1"/>
  <c r="F3" i="4" l="1"/>
  <c r="G4" i="2"/>
  <c r="G3" i="4" s="1"/>
  <c r="X6" i="1"/>
  <c r="M50" i="3"/>
  <c r="N50" i="3"/>
  <c r="O50" i="3"/>
  <c r="P50" i="3"/>
  <c r="Q50" i="3"/>
  <c r="U50" i="3" s="1"/>
  <c r="R50" i="3"/>
  <c r="M3" i="3"/>
  <c r="N3" i="3"/>
  <c r="O3" i="3"/>
  <c r="P3" i="3"/>
  <c r="Q3" i="3"/>
  <c r="R3" i="3"/>
  <c r="M4" i="3"/>
  <c r="N4" i="3"/>
  <c r="O4" i="3"/>
  <c r="P4" i="3"/>
  <c r="Q4" i="3"/>
  <c r="R4" i="3"/>
  <c r="M5" i="3"/>
  <c r="N5" i="3"/>
  <c r="O5" i="3"/>
  <c r="P5" i="3"/>
  <c r="Q5" i="3"/>
  <c r="R5" i="3"/>
  <c r="M6" i="3"/>
  <c r="N6" i="3"/>
  <c r="O6" i="3"/>
  <c r="P6" i="3"/>
  <c r="Q6" i="3"/>
  <c r="R6" i="3"/>
  <c r="M7" i="3"/>
  <c r="N7" i="3"/>
  <c r="O7" i="3"/>
  <c r="P7" i="3"/>
  <c r="Q7" i="3"/>
  <c r="R7" i="3"/>
  <c r="M8" i="3"/>
  <c r="N8" i="3"/>
  <c r="O8" i="3"/>
  <c r="P8" i="3"/>
  <c r="Q8" i="3"/>
  <c r="R8" i="3"/>
  <c r="M9" i="3"/>
  <c r="N9" i="3"/>
  <c r="O9" i="3"/>
  <c r="P9" i="3"/>
  <c r="Q9" i="3"/>
  <c r="R9" i="3"/>
  <c r="M10" i="3"/>
  <c r="N10" i="3"/>
  <c r="O10" i="3"/>
  <c r="P10" i="3"/>
  <c r="Q10" i="3"/>
  <c r="R10" i="3"/>
  <c r="M11" i="3"/>
  <c r="N11" i="3"/>
  <c r="O11" i="3"/>
  <c r="P11" i="3"/>
  <c r="Q11" i="3"/>
  <c r="R11" i="3"/>
  <c r="M12" i="3"/>
  <c r="N12" i="3"/>
  <c r="O12" i="3"/>
  <c r="P12" i="3"/>
  <c r="Q12" i="3"/>
  <c r="R12" i="3"/>
  <c r="M13" i="3"/>
  <c r="N13" i="3"/>
  <c r="O13" i="3"/>
  <c r="P13" i="3"/>
  <c r="Q13" i="3"/>
  <c r="R13" i="3"/>
  <c r="M14" i="3"/>
  <c r="N14" i="3"/>
  <c r="O14" i="3"/>
  <c r="P14" i="3"/>
  <c r="Q14" i="3"/>
  <c r="R14" i="3"/>
  <c r="M15" i="3"/>
  <c r="N15" i="3"/>
  <c r="O15" i="3"/>
  <c r="P15" i="3"/>
  <c r="Q15" i="3"/>
  <c r="R15" i="3"/>
  <c r="M16" i="3"/>
  <c r="N16" i="3"/>
  <c r="O16" i="3"/>
  <c r="P16" i="3"/>
  <c r="Q16" i="3"/>
  <c r="R16" i="3"/>
  <c r="M17" i="3"/>
  <c r="N17" i="3"/>
  <c r="O17" i="3"/>
  <c r="P17" i="3"/>
  <c r="Q17" i="3"/>
  <c r="R17" i="3"/>
  <c r="M18" i="3"/>
  <c r="N18" i="3"/>
  <c r="O18" i="3"/>
  <c r="P18" i="3"/>
  <c r="Q18" i="3"/>
  <c r="R18" i="3"/>
  <c r="M19" i="3"/>
  <c r="N19" i="3"/>
  <c r="O19" i="3"/>
  <c r="P19" i="3"/>
  <c r="Q19" i="3"/>
  <c r="R19" i="3"/>
  <c r="M20" i="3"/>
  <c r="N20" i="3"/>
  <c r="O20" i="3"/>
  <c r="P20" i="3"/>
  <c r="Q20" i="3"/>
  <c r="R20" i="3"/>
  <c r="M21" i="3"/>
  <c r="N21" i="3"/>
  <c r="O21" i="3"/>
  <c r="P21" i="3"/>
  <c r="Q21" i="3"/>
  <c r="R21" i="3"/>
  <c r="M22" i="3"/>
  <c r="N22" i="3"/>
  <c r="O22" i="3"/>
  <c r="P22" i="3"/>
  <c r="Q22" i="3"/>
  <c r="R22" i="3"/>
  <c r="M23" i="3"/>
  <c r="N23" i="3"/>
  <c r="O23" i="3"/>
  <c r="P23" i="3"/>
  <c r="Q23" i="3"/>
  <c r="R23" i="3"/>
  <c r="M24" i="3"/>
  <c r="N24" i="3"/>
  <c r="O24" i="3"/>
  <c r="P24" i="3"/>
  <c r="Q24" i="3"/>
  <c r="R24" i="3"/>
  <c r="M25" i="3"/>
  <c r="N25" i="3"/>
  <c r="O25" i="3"/>
  <c r="P25" i="3"/>
  <c r="Q25" i="3"/>
  <c r="R25" i="3"/>
  <c r="M26" i="3"/>
  <c r="N26" i="3"/>
  <c r="O26" i="3"/>
  <c r="P26" i="3"/>
  <c r="Q26" i="3"/>
  <c r="R26" i="3"/>
  <c r="M27" i="3"/>
  <c r="N27" i="3"/>
  <c r="O27" i="3"/>
  <c r="P27" i="3"/>
  <c r="Q27" i="3"/>
  <c r="R27" i="3"/>
  <c r="M28" i="3"/>
  <c r="N28" i="3"/>
  <c r="O28" i="3"/>
  <c r="P28" i="3"/>
  <c r="Q28" i="3"/>
  <c r="R28" i="3"/>
  <c r="M29" i="3"/>
  <c r="N29" i="3"/>
  <c r="O29" i="3"/>
  <c r="P29" i="3"/>
  <c r="Q29" i="3"/>
  <c r="R29" i="3"/>
  <c r="M30" i="3"/>
  <c r="N30" i="3"/>
  <c r="O30" i="3"/>
  <c r="P30" i="3"/>
  <c r="Q30" i="3"/>
  <c r="R30" i="3"/>
  <c r="M31" i="3"/>
  <c r="N31" i="3"/>
  <c r="O31" i="3"/>
  <c r="P31" i="3"/>
  <c r="Q31" i="3"/>
  <c r="R31" i="3"/>
  <c r="M32" i="3"/>
  <c r="N32" i="3"/>
  <c r="O32" i="3"/>
  <c r="P32" i="3"/>
  <c r="Q32" i="3"/>
  <c r="R32" i="3"/>
  <c r="M33" i="3"/>
  <c r="N33" i="3"/>
  <c r="O33" i="3"/>
  <c r="P33" i="3"/>
  <c r="Q33" i="3"/>
  <c r="R33" i="3"/>
  <c r="M34" i="3"/>
  <c r="N34" i="3"/>
  <c r="O34" i="3"/>
  <c r="P34" i="3"/>
  <c r="Q34" i="3"/>
  <c r="R34" i="3"/>
  <c r="M35" i="3"/>
  <c r="N35" i="3"/>
  <c r="O35" i="3"/>
  <c r="P35" i="3"/>
  <c r="Q35" i="3"/>
  <c r="R35" i="3"/>
  <c r="M36" i="3"/>
  <c r="N36" i="3"/>
  <c r="O36" i="3"/>
  <c r="P36" i="3"/>
  <c r="Q36" i="3"/>
  <c r="R36" i="3"/>
  <c r="M37" i="3"/>
  <c r="N37" i="3"/>
  <c r="O37" i="3"/>
  <c r="P37" i="3"/>
  <c r="Q37" i="3"/>
  <c r="R37" i="3"/>
  <c r="M38" i="3"/>
  <c r="N38" i="3"/>
  <c r="O38" i="3"/>
  <c r="P38" i="3"/>
  <c r="Q38" i="3"/>
  <c r="R38" i="3"/>
  <c r="M39" i="3"/>
  <c r="N39" i="3"/>
  <c r="O39" i="3"/>
  <c r="P39" i="3"/>
  <c r="Q39" i="3"/>
  <c r="R39" i="3"/>
  <c r="M40" i="3"/>
  <c r="N40" i="3"/>
  <c r="O40" i="3"/>
  <c r="P40" i="3"/>
  <c r="Q40" i="3"/>
  <c r="R40" i="3"/>
  <c r="M41" i="3"/>
  <c r="N41" i="3"/>
  <c r="O41" i="3"/>
  <c r="P41" i="3"/>
  <c r="Q41" i="3"/>
  <c r="R41" i="3"/>
  <c r="M42" i="3"/>
  <c r="N42" i="3"/>
  <c r="O42" i="3"/>
  <c r="P42" i="3"/>
  <c r="Q42" i="3"/>
  <c r="R42" i="3"/>
  <c r="M43" i="3"/>
  <c r="N43" i="3"/>
  <c r="O43" i="3"/>
  <c r="P43" i="3"/>
  <c r="Q43" i="3"/>
  <c r="R43" i="3"/>
  <c r="M44" i="3"/>
  <c r="N44" i="3"/>
  <c r="O44" i="3"/>
  <c r="P44" i="3"/>
  <c r="Q44" i="3"/>
  <c r="R44" i="3"/>
  <c r="M45" i="3"/>
  <c r="N45" i="3"/>
  <c r="O45" i="3"/>
  <c r="P45" i="3"/>
  <c r="Q45" i="3"/>
  <c r="R45" i="3"/>
  <c r="M46" i="3"/>
  <c r="N46" i="3"/>
  <c r="O46" i="3"/>
  <c r="P46" i="3"/>
  <c r="Q46" i="3"/>
  <c r="R46" i="3"/>
  <c r="M47" i="3"/>
  <c r="N47" i="3"/>
  <c r="O47" i="3"/>
  <c r="P47" i="3"/>
  <c r="Q47" i="3"/>
  <c r="R47" i="3"/>
  <c r="M48" i="3"/>
  <c r="N48" i="3"/>
  <c r="O48" i="3"/>
  <c r="P48" i="3"/>
  <c r="Q48" i="3"/>
  <c r="R48" i="3"/>
  <c r="M49" i="3"/>
  <c r="N49" i="3"/>
  <c r="O49" i="3"/>
  <c r="P49" i="3"/>
  <c r="Q49" i="3"/>
  <c r="R49" i="3"/>
  <c r="M51" i="3"/>
  <c r="N51" i="3"/>
  <c r="O51" i="3"/>
  <c r="P51" i="3"/>
  <c r="Q51" i="3"/>
  <c r="R51" i="3"/>
  <c r="M52" i="3"/>
  <c r="N52" i="3"/>
  <c r="O52" i="3"/>
  <c r="P52" i="3"/>
  <c r="Q52" i="3"/>
  <c r="R52" i="3"/>
  <c r="N2" i="3"/>
  <c r="O2" i="3"/>
  <c r="P2" i="3"/>
  <c r="Q2" i="3"/>
  <c r="R2" i="3"/>
  <c r="M2" i="3"/>
  <c r="G21" i="2"/>
  <c r="G20" i="4" s="1"/>
  <c r="G14" i="2"/>
  <c r="G13" i="4" s="1"/>
  <c r="G12" i="4"/>
  <c r="X40" i="1"/>
  <c r="D11" i="2" s="1"/>
  <c r="F10" i="4" l="1"/>
  <c r="G11" i="2"/>
  <c r="D3" i="2"/>
  <c r="U2" i="3"/>
  <c r="U34" i="3"/>
  <c r="U22" i="3"/>
  <c r="U10" i="3"/>
  <c r="U44" i="3"/>
  <c r="U32" i="3"/>
  <c r="U20" i="3"/>
  <c r="U8" i="3"/>
  <c r="U52" i="3"/>
  <c r="U48" i="3"/>
  <c r="U46" i="3"/>
  <c r="U42" i="3"/>
  <c r="U40" i="3"/>
  <c r="U38" i="3"/>
  <c r="U36" i="3"/>
  <c r="U30" i="3"/>
  <c r="U28" i="3"/>
  <c r="U26" i="3"/>
  <c r="U18" i="3"/>
  <c r="U16" i="3"/>
  <c r="U14" i="3"/>
  <c r="U12" i="3"/>
  <c r="U6" i="3"/>
  <c r="U4" i="3"/>
  <c r="U43" i="3"/>
  <c r="U31" i="3"/>
  <c r="U19" i="3"/>
  <c r="U7" i="3"/>
  <c r="U51" i="3"/>
  <c r="U49" i="3"/>
  <c r="U47" i="3"/>
  <c r="U45" i="3"/>
  <c r="U41" i="3"/>
  <c r="U39" i="3"/>
  <c r="U37" i="3"/>
  <c r="U35" i="3"/>
  <c r="U33" i="3"/>
  <c r="U29" i="3"/>
  <c r="U27" i="3"/>
  <c r="U25" i="3"/>
  <c r="U23" i="3"/>
  <c r="U21" i="3"/>
  <c r="U17" i="3"/>
  <c r="U15" i="3"/>
  <c r="U13" i="3"/>
  <c r="U11" i="3"/>
  <c r="U9" i="3"/>
  <c r="U5" i="3"/>
  <c r="U3" i="3"/>
  <c r="D32" i="2"/>
  <c r="F31" i="4" l="1"/>
  <c r="G32" i="2"/>
  <c r="G31" i="4" s="1"/>
  <c r="G10" i="4"/>
  <c r="F2" i="4"/>
  <c r="G3" i="2"/>
  <c r="G2" i="4" s="1"/>
  <c r="G54" i="4" s="1"/>
  <c r="U53" i="3"/>
  <c r="V11" i="3" s="1"/>
  <c r="V7" i="3" l="1"/>
  <c r="V49" i="3"/>
  <c r="V39" i="3"/>
  <c r="V30" i="3"/>
  <c r="V47" i="3"/>
  <c r="V46" i="3"/>
  <c r="V25" i="3"/>
  <c r="W25" i="3" s="1"/>
  <c r="H25" i="4" s="1"/>
  <c r="I25" i="4" s="1"/>
  <c r="V9" i="3"/>
  <c r="W9" i="3" s="1"/>
  <c r="H9" i="4" s="1"/>
  <c r="I9" i="4" s="1"/>
  <c r="V40" i="3"/>
  <c r="W40" i="3" s="1"/>
  <c r="H40" i="4" s="1"/>
  <c r="I40" i="4" s="1"/>
  <c r="V28" i="3"/>
  <c r="W28" i="3" s="1"/>
  <c r="H28" i="4" s="1"/>
  <c r="I28" i="4" s="1"/>
  <c r="V8" i="3"/>
  <c r="W8" i="3" s="1"/>
  <c r="H8" i="4" s="1"/>
  <c r="I8" i="4" s="1"/>
  <c r="V29" i="3"/>
  <c r="W29" i="3" s="1"/>
  <c r="H29" i="4" s="1"/>
  <c r="I29" i="4" s="1"/>
  <c r="V52" i="3"/>
  <c r="V19" i="3"/>
  <c r="V14" i="3"/>
  <c r="W14" i="3" s="1"/>
  <c r="H14" i="4" s="1"/>
  <c r="I14" i="4" s="1"/>
  <c r="V51" i="3"/>
  <c r="W51" i="3" s="1"/>
  <c r="H51" i="4" s="1"/>
  <c r="I51" i="4" s="1"/>
  <c r="V37" i="3"/>
  <c r="W37" i="3" s="1"/>
  <c r="H37" i="4" s="1"/>
  <c r="I37" i="4" s="1"/>
  <c r="V22" i="3"/>
  <c r="W22" i="3" s="1"/>
  <c r="H22" i="4" s="1"/>
  <c r="I22" i="4" s="1"/>
  <c r="V2" i="3"/>
  <c r="W2" i="3" s="1"/>
  <c r="V23" i="3"/>
  <c r="W23" i="3" s="1"/>
  <c r="H23" i="4" s="1"/>
  <c r="I23" i="4" s="1"/>
  <c r="V31" i="3"/>
  <c r="W31" i="3" s="1"/>
  <c r="H31" i="4" s="1"/>
  <c r="I31" i="4" s="1"/>
  <c r="V32" i="3"/>
  <c r="W32" i="3" s="1"/>
  <c r="H32" i="4" s="1"/>
  <c r="I32" i="4" s="1"/>
  <c r="V26" i="3"/>
  <c r="W26" i="3" s="1"/>
  <c r="I26" i="4" s="1"/>
  <c r="V36" i="3"/>
  <c r="W36" i="3" s="1"/>
  <c r="H36" i="4" s="1"/>
  <c r="I36" i="4" s="1"/>
  <c r="W39" i="3"/>
  <c r="H39" i="4" s="1"/>
  <c r="I39" i="4" s="1"/>
  <c r="V21" i="3"/>
  <c r="V3" i="3"/>
  <c r="W11" i="3"/>
  <c r="H11" i="4" s="1"/>
  <c r="I11" i="4" s="1"/>
  <c r="W49" i="3"/>
  <c r="H49" i="4" s="1"/>
  <c r="I49" i="4" s="1"/>
  <c r="V12" i="3"/>
  <c r="V41" i="3"/>
  <c r="V6" i="3"/>
  <c r="V42" i="3"/>
  <c r="V16" i="3"/>
  <c r="W7" i="3"/>
  <c r="H7" i="4" s="1"/>
  <c r="I7" i="4" s="1"/>
  <c r="W47" i="3"/>
  <c r="H47" i="4" s="1"/>
  <c r="I47" i="4" s="1"/>
  <c r="W52" i="3"/>
  <c r="H52" i="4" s="1"/>
  <c r="I52" i="4" s="1"/>
  <c r="V24" i="3"/>
  <c r="V50" i="3"/>
  <c r="V4" i="3"/>
  <c r="V35" i="3"/>
  <c r="V34" i="3"/>
  <c r="V33" i="3"/>
  <c r="V27" i="3"/>
  <c r="V38" i="3"/>
  <c r="V20" i="3"/>
  <c r="V5" i="3"/>
  <c r="W30" i="3"/>
  <c r="H30" i="4" s="1"/>
  <c r="I30" i="4" s="1"/>
  <c r="W46" i="3"/>
  <c r="H46" i="4" s="1"/>
  <c r="I46" i="4" s="1"/>
  <c r="W19" i="3"/>
  <c r="H19" i="4" s="1"/>
  <c r="I19" i="4" s="1"/>
  <c r="V48" i="3"/>
  <c r="V18" i="3"/>
  <c r="V17" i="3"/>
  <c r="V15" i="3"/>
  <c r="V10" i="3"/>
  <c r="V44" i="3"/>
  <c r="V13" i="3"/>
  <c r="V45" i="3"/>
  <c r="V43" i="3"/>
  <c r="H2" i="4" l="1"/>
  <c r="W17" i="3"/>
  <c r="H17" i="4" s="1"/>
  <c r="I17" i="4"/>
  <c r="W24" i="3"/>
  <c r="H24" i="4" s="1"/>
  <c r="I24" i="4" s="1"/>
  <c r="W42" i="3"/>
  <c r="H42" i="4" s="1"/>
  <c r="I42" i="4" s="1"/>
  <c r="W3" i="3"/>
  <c r="H3" i="4" s="1"/>
  <c r="I3" i="4" s="1"/>
  <c r="W6" i="3"/>
  <c r="H6" i="4" s="1"/>
  <c r="I6" i="4" s="1"/>
  <c r="W21" i="3"/>
  <c r="H21" i="4" s="1"/>
  <c r="I21" i="4" s="1"/>
  <c r="W48" i="3"/>
  <c r="H48" i="4" s="1"/>
  <c r="I48" i="4"/>
  <c r="W41" i="3"/>
  <c r="H41" i="4" s="1"/>
  <c r="I41" i="4"/>
  <c r="W4" i="3"/>
  <c r="H4" i="4" s="1"/>
  <c r="I4" i="4"/>
  <c r="W18" i="3"/>
  <c r="H18" i="4" s="1"/>
  <c r="I18" i="4" s="1"/>
  <c r="W5" i="3"/>
  <c r="H5" i="4" s="1"/>
  <c r="I5" i="4" s="1"/>
  <c r="W12" i="3"/>
  <c r="H12" i="4" s="1"/>
  <c r="I12" i="4" s="1"/>
  <c r="W16" i="3"/>
  <c r="H16" i="4" s="1"/>
  <c r="I16" i="4"/>
  <c r="W20" i="3"/>
  <c r="H20" i="4" s="1"/>
  <c r="I20" i="4" s="1"/>
  <c r="W50" i="3"/>
  <c r="H50" i="4" s="1"/>
  <c r="I50" i="4"/>
  <c r="W43" i="3"/>
  <c r="H43" i="4" s="1"/>
  <c r="I43" i="4" s="1"/>
  <c r="W38" i="3"/>
  <c r="H38" i="4" s="1"/>
  <c r="I38" i="4"/>
  <c r="W45" i="3"/>
  <c r="H45" i="4" s="1"/>
  <c r="I45" i="4" s="1"/>
  <c r="W27" i="3"/>
  <c r="H27" i="4" s="1"/>
  <c r="I27" i="4" s="1"/>
  <c r="W15" i="3"/>
  <c r="H15" i="4" s="1"/>
  <c r="I15" i="4"/>
  <c r="W13" i="3"/>
  <c r="H13" i="4" s="1"/>
  <c r="I13" i="4" s="1"/>
  <c r="W33" i="3"/>
  <c r="H33" i="4" s="1"/>
  <c r="I33" i="4" s="1"/>
  <c r="W44" i="3"/>
  <c r="H44" i="4" s="1"/>
  <c r="I44" i="4" s="1"/>
  <c r="W34" i="3"/>
  <c r="H34" i="4" s="1"/>
  <c r="I34" i="4" s="1"/>
  <c r="V53" i="3"/>
  <c r="W10" i="3"/>
  <c r="H10" i="4" s="1"/>
  <c r="I10" i="4"/>
  <c r="W35" i="3"/>
  <c r="H35" i="4" s="1"/>
  <c r="I35" i="4" s="1"/>
  <c r="G56" i="4" l="1"/>
  <c r="W53" i="3"/>
  <c r="I2" i="4"/>
  <c r="I54" i="4" l="1"/>
</calcChain>
</file>

<file path=xl/sharedStrings.xml><?xml version="1.0" encoding="utf-8"?>
<sst xmlns="http://schemas.openxmlformats.org/spreadsheetml/2006/main" count="4089" uniqueCount="1270">
  <si>
    <t xml:space="preserve">Descripción del indicador </t>
  </si>
  <si>
    <t xml:space="preserve">Metadato indicador </t>
  </si>
  <si>
    <t xml:space="preserve">Metadato variable indicador </t>
  </si>
  <si>
    <t xml:space="preserve">Variable indicador </t>
  </si>
  <si>
    <t>Dimensión</t>
  </si>
  <si>
    <t>Nombre del indicador</t>
  </si>
  <si>
    <t>subsector</t>
  </si>
  <si>
    <t>Unidad de medida</t>
  </si>
  <si>
    <t>Periodicidad</t>
  </si>
  <si>
    <t>Cobertura geográfica</t>
  </si>
  <si>
    <t>Cobertura temporal</t>
  </si>
  <si>
    <t>Titulo</t>
  </si>
  <si>
    <t>Nombre de la Organización</t>
  </si>
  <si>
    <t xml:space="preserve">Nombre del cargo </t>
  </si>
  <si>
    <t xml:space="preserve">Correo Electrónico </t>
  </si>
  <si>
    <t xml:space="preserve">Enlace </t>
  </si>
  <si>
    <t xml:space="preserve">Fecha </t>
  </si>
  <si>
    <t xml:space="preserve">Tipo de Fecha </t>
  </si>
  <si>
    <t>Fuente</t>
  </si>
  <si>
    <t>Anexo</t>
  </si>
  <si>
    <t>Nombre de la variable</t>
  </si>
  <si>
    <t xml:space="preserve">Valor  Variable </t>
  </si>
  <si>
    <t xml:space="preserve">Naturaleza del dato </t>
  </si>
  <si>
    <t xml:space="preserve">Tipo de dato variable </t>
  </si>
  <si>
    <t xml:space="preserve">Valor del indicador </t>
  </si>
  <si>
    <t>Tipo de dato Indicador</t>
  </si>
  <si>
    <t>Puntaje asignado para el índice de gobernanza</t>
  </si>
  <si>
    <t xml:space="preserve">Indique a que dimensión pertenece </t>
  </si>
  <si>
    <t>Indique el indicador que pertenece a la dimension</t>
  </si>
  <si>
    <t>Indique si es ( Energia, mineria, hidrocarburos o multisubsectorial)</t>
  </si>
  <si>
    <t xml:space="preserve">el indicador se mide por cual periodicidad </t>
  </si>
  <si>
    <t xml:space="preserve">alcance escala geografica </t>
  </si>
  <si>
    <t xml:space="preserve">año </t>
  </si>
  <si>
    <t xml:space="preserve">Nombre de la descripcion del indicador </t>
  </si>
  <si>
    <t xml:space="preserve">quien lo realizo </t>
  </si>
  <si>
    <t xml:space="preserve">escriba el nombre del profesional que esta a cargo de la metodologia del indicador </t>
  </si>
  <si>
    <t xml:space="preserve">correo del profesional esta a cargo de la metodologia del indicador </t>
  </si>
  <si>
    <t xml:space="preserve">link del documento que respalde la descripcion metodologica del indicador </t>
  </si>
  <si>
    <t xml:space="preserve">fecha que descripcion metodologica del indicador </t>
  </si>
  <si>
    <t xml:space="preserve">entidad encargada de la variable del indicador </t>
  </si>
  <si>
    <t xml:space="preserve">fecha de publicacion de la variable </t>
  </si>
  <si>
    <t xml:space="preserve">descripcion fuente de la información </t>
  </si>
  <si>
    <t xml:space="preserve">Anexar el documento si es necesario el derecho de petición </t>
  </si>
  <si>
    <t xml:space="preserve">Escriba el nombre de la variable del indicador  </t>
  </si>
  <si>
    <t xml:space="preserve">Escriba el valor de la variable </t>
  </si>
  <si>
    <t xml:space="preserve">Gestión_y_Evaluación_Ambiental </t>
  </si>
  <si>
    <t>19. Licenciamiento Ambiental</t>
  </si>
  <si>
    <t xml:space="preserve">Multisubsectorial </t>
  </si>
  <si>
    <t>Porcentaje (%)</t>
  </si>
  <si>
    <t>Anual</t>
  </si>
  <si>
    <t>Nacional</t>
  </si>
  <si>
    <t xml:space="preserve">19. Hoja metodologica indicador licenciamiento ambiental </t>
  </si>
  <si>
    <t>Universidad Nacional de Colombia</t>
  </si>
  <si>
    <t>Natalia Pacheco Salazar</t>
  </si>
  <si>
    <t>Autoridad Nacional de Licencias Ambientales</t>
  </si>
  <si>
    <t>Revision</t>
  </si>
  <si>
    <t>Gráfica 20: Visitas y Conceptos Técnicos vigencia pagina 100 informe de gestion</t>
  </si>
  <si>
    <t>Subdirección de Evaluación de Licencias Ambientales: OELA – SILA, 2023</t>
  </si>
  <si>
    <t>19.1. Licencias ambientales otorgadas subsector energia</t>
  </si>
  <si>
    <t>Atributo</t>
  </si>
  <si>
    <t>Cuantitativo</t>
  </si>
  <si>
    <t>Entero (Integer int)</t>
  </si>
  <si>
    <t>Flotante (Float  Double)</t>
  </si>
  <si>
    <t>19.2. Licencias ambientales solicitadas subsector energia</t>
  </si>
  <si>
    <t>19.3. Licencias ambientales otorgadas subsector Hidrocarburos</t>
  </si>
  <si>
    <t>19.4.Licencias ambientales solicitadas subsector Hidrocarburos</t>
  </si>
  <si>
    <t>19.5. Licencias ambientales otorgadas subsector mineria</t>
  </si>
  <si>
    <t>19.6. Licencias ambientales solicitadas subsector Mineria)</t>
  </si>
  <si>
    <t>Normativa</t>
  </si>
  <si>
    <t>1.Reconocimiento y protección de los derechos ambientales en la política sectorial de derechos humanos</t>
  </si>
  <si>
    <t>No</t>
  </si>
  <si>
    <t>Cualitativo</t>
  </si>
  <si>
    <t>Cadena de texto (String str).</t>
  </si>
  <si>
    <t xml:space="preserve">Sociales </t>
  </si>
  <si>
    <t>9. Participación ciudadana</t>
  </si>
  <si>
    <t>09. Hoja metodologica Participación ciudadana</t>
  </si>
  <si>
    <t>9.1.1.sumatoria asistencia evento asistencia Informativo </t>
  </si>
  <si>
    <t>9.1.2. sumatoria asistencia evento Toma de Decisiones Participativas </t>
  </si>
  <si>
    <t>9.1.3.sumatoria asistencia evento Pedagógico </t>
  </si>
  <si>
    <t>9.1.4.sumatoria asistencia evento Planeación Participativa </t>
  </si>
  <si>
    <t>9.1.5.Resolución de Conflictos </t>
  </si>
  <si>
    <t xml:space="preserve">91.6. Sumatorio asistentes </t>
  </si>
  <si>
    <t>9.2.1. Informativo </t>
  </si>
  <si>
    <t>9.2.2.Toma de Decisiones Participativas </t>
  </si>
  <si>
    <t>9.2.3.Pedagógico </t>
  </si>
  <si>
    <t>9.2.4.Planeación Participativa </t>
  </si>
  <si>
    <t>9.2.5.Resolución de Conflictos </t>
  </si>
  <si>
    <t>10. Interacción de género y enfoque diferencial</t>
  </si>
  <si>
    <t>10. Hoja metodologica Interacción de género y enfoque diferencial</t>
  </si>
  <si>
    <t xml:space="preserve">10.1.1.Mujeres 2022 </t>
  </si>
  <si>
    <t xml:space="preserve">10.1.2.Adulto mayor 2022 </t>
  </si>
  <si>
    <t xml:space="preserve">10.1.3.Población con discapacidad 2022 </t>
  </si>
  <si>
    <t xml:space="preserve">10.1.4.Grupos étnicos 2022 </t>
  </si>
  <si>
    <t xml:space="preserve">10.1.5.Desplazados 2022 </t>
  </si>
  <si>
    <t xml:space="preserve">10.1.6.Víctimas del conflicto armado 2022 </t>
  </si>
  <si>
    <t xml:space="preserve">10.1.7.Interacción anual 2022 </t>
  </si>
  <si>
    <t xml:space="preserve">10.2.1.Mujeres 2023 </t>
  </si>
  <si>
    <t xml:space="preserve">10.2.2.Adulto mayor 2023 </t>
  </si>
  <si>
    <t xml:space="preserve">10.2.3.Población con discapacidad 2022 </t>
  </si>
  <si>
    <t xml:space="preserve">10.2.4.Grupos étnicos 2023 </t>
  </si>
  <si>
    <t xml:space="preserve">10.2.5.Desplazados 2023 </t>
  </si>
  <si>
    <t xml:space="preserve">10.2.6.Víctimas del conflicto armado 2023 </t>
  </si>
  <si>
    <t xml:space="preserve">10.2.7.Interacción anual 2023 </t>
  </si>
  <si>
    <t xml:space="preserve">11. Conflictividad socioambiental </t>
  </si>
  <si>
    <t xml:space="preserve">11. Hoja metodologica Conflictividad socioambiental </t>
  </si>
  <si>
    <t xml:space="preserve">11.1. Conflictos sociales </t>
  </si>
  <si>
    <t xml:space="preserve">11.2. Conflictos ambientales </t>
  </si>
  <si>
    <t xml:space="preserve">11.3. Conflictos compartidos </t>
  </si>
  <si>
    <t>11.4.Total conflictos sociales ambientales</t>
  </si>
  <si>
    <t xml:space="preserve">11.5. Total conflictos dentro de la matriz </t>
  </si>
  <si>
    <t>12. Cumplimiento a PQRSD</t>
  </si>
  <si>
    <t>12. Holja metodologica Cumplimiento a PQRSD</t>
  </si>
  <si>
    <t>Transición_Energética</t>
  </si>
  <si>
    <t>30. Participación de las FNCER en la matriz energética eléctrica.</t>
  </si>
  <si>
    <t>30. Hoja metodologica Participación de las FNCER en la matriz energética eléctrica.</t>
  </si>
  <si>
    <t>30.1.1.  Generacion Biomasa (GWh) 2022</t>
  </si>
  <si>
    <t>30.1.2. Generación Eolica (GWh) 2022</t>
  </si>
  <si>
    <t>30.1.3. Generación Solar (GWh) 2022</t>
  </si>
  <si>
    <t>30.1.4. Generación Pequeñas Centrales Hidroelectricas 2022</t>
  </si>
  <si>
    <t>30.1.5. GBESP 2022</t>
  </si>
  <si>
    <t>30.1.6. Generación Total de la Matriz Eléctrica (GTE) 2022</t>
  </si>
  <si>
    <t>30.2.1.  Generacion Biomasa (GWh) 2022</t>
  </si>
  <si>
    <t>30.2.2. Generación Eolica (GWh) 2022</t>
  </si>
  <si>
    <t>30.2.3. Generación Solar (GWh) 2022</t>
  </si>
  <si>
    <t>30.2.4. Generación Pequeñas Centrales Hidroelectricas 2022</t>
  </si>
  <si>
    <t>30.2.5. GBESP 2023</t>
  </si>
  <si>
    <t>30.2.6. Generación Total de la Matriz Eléctrica (GTE) 2023</t>
  </si>
  <si>
    <t>Nombre de la Organización2</t>
  </si>
  <si>
    <t>Fecha 3</t>
  </si>
  <si>
    <t>Tipo de Fecha 4</t>
  </si>
  <si>
    <t>Titulo5</t>
  </si>
  <si>
    <t>Nombre de la valor indicador</t>
  </si>
  <si>
    <t>Nombre del valor puntaje asignado</t>
  </si>
  <si>
    <t>N°</t>
  </si>
  <si>
    <t>Objetivos</t>
  </si>
  <si>
    <t>Índice / Indicador</t>
  </si>
  <si>
    <t>Criterio 1</t>
  </si>
  <si>
    <t>Criterio 2</t>
  </si>
  <si>
    <t>Criterio 3</t>
  </si>
  <si>
    <t>Criterio 4</t>
  </si>
  <si>
    <t>Criterio 5</t>
  </si>
  <si>
    <t>Criterio 6</t>
  </si>
  <si>
    <t>Total</t>
  </si>
  <si>
    <t>Normalización</t>
  </si>
  <si>
    <t>Análisis jurídico-normativo</t>
  </si>
  <si>
    <t>Robustez</t>
  </si>
  <si>
    <t>Legitimidad</t>
  </si>
  <si>
    <t>Reconocimiento y protección de los derechos ambientales en la política sectorial de derechos humanos</t>
  </si>
  <si>
    <t>Contexto favorable para el ejercicio de los derechos ambientales</t>
  </si>
  <si>
    <t>Equidad</t>
  </si>
  <si>
    <t>Reconocimiento, Participación, Transparencia</t>
  </si>
  <si>
    <t>Análisis de impacto regulatorio con dimensión ambiental</t>
  </si>
  <si>
    <t>Evaluación ex post de regulaciones</t>
  </si>
  <si>
    <t>Procesos de consulta pública en la producción normativa</t>
  </si>
  <si>
    <t>Análisis institucional</t>
  </si>
  <si>
    <t>Efectividad</t>
  </si>
  <si>
    <t>Coordinación, dirección, capacidad y eficiencia</t>
  </si>
  <si>
    <t>Puntaje del sector de minas y energía en el índice de Desempeño Institucional</t>
  </si>
  <si>
    <t>Coordinación intersectorial</t>
  </si>
  <si>
    <t>Reconocimiento y justicia</t>
  </si>
  <si>
    <t>Acceso a justicia</t>
  </si>
  <si>
    <t>Social</t>
  </si>
  <si>
    <t>Participación</t>
  </si>
  <si>
    <t>Participación ciudadana</t>
  </si>
  <si>
    <t>Reconocimiento</t>
  </si>
  <si>
    <t>Interacción de género y enfoque diferencial</t>
  </si>
  <si>
    <t>Justicia</t>
  </si>
  <si>
    <t>Conflictividad socioambiental</t>
  </si>
  <si>
    <t>Transparencia</t>
  </si>
  <si>
    <t>Cumplimiento a PQRSD</t>
  </si>
  <si>
    <t>Biofísica y ecológica</t>
  </si>
  <si>
    <t>Eficiencia</t>
  </si>
  <si>
    <t>Variación de la demanda hídrica</t>
  </si>
  <si>
    <t>Variación de la huella hídrica azul</t>
  </si>
  <si>
    <t>Variación del área compensada por cada subsector minero energético</t>
  </si>
  <si>
    <t>Área de superposición de cada subsector minero energético con determinantes ambientales</t>
  </si>
  <si>
    <t>Área de superposición de cada subsector minero energético con áreas prioritarias de conservación</t>
  </si>
  <si>
    <t>Gestión y evaluación ambiental</t>
  </si>
  <si>
    <t>Variación en la generación de residuos peligrosos (RESPEL) por unidad producida</t>
  </si>
  <si>
    <t>Receptividad</t>
  </si>
  <si>
    <t>Anticipación</t>
  </si>
  <si>
    <t>Licenciamiento Ambiental</t>
  </si>
  <si>
    <t>Responsabilidad</t>
  </si>
  <si>
    <t>Procesos sancionatorios ambientales</t>
  </si>
  <si>
    <t xml:space="preserve">Cambio climático y gestión del riesgo </t>
  </si>
  <si>
    <t>Flexibilidad y Adaptación</t>
  </si>
  <si>
    <t>Variación de emisiones de GEI del sector</t>
  </si>
  <si>
    <t>Tasa de variación de financiamiento climático</t>
  </si>
  <si>
    <t>Índice de vulnerabilidad climática</t>
  </si>
  <si>
    <t>Índice de Derrames de Hidrocarburos (IDH)</t>
  </si>
  <si>
    <t>Índice de Gravedad de Accidentes Mineros (IGAM)</t>
  </si>
  <si>
    <t>índice de Severidad de Accidentes Eléctricos (ISAE)</t>
  </si>
  <si>
    <t>Transición energética justa</t>
  </si>
  <si>
    <t>Variación de la intensidad energética por subsector</t>
  </si>
  <si>
    <t>Variación de la intensidad energética nacional</t>
  </si>
  <si>
    <t>Participación de las FNCER en la matriz energética primaria</t>
  </si>
  <si>
    <t>Participación de las FNCER en la matriz energética eléctrica.</t>
  </si>
  <si>
    <t>Producción de minerales estratégicos y críticos para la TEJ.</t>
  </si>
  <si>
    <t>Pobreza multidimensional en municipios productores de minerales estratégicos</t>
  </si>
  <si>
    <t>Económica</t>
  </si>
  <si>
    <t>Recaudo efectivo de regalías</t>
  </si>
  <si>
    <t>Regalías destinadas al sector ambiente y desarrollo sostenible</t>
  </si>
  <si>
    <t>Variación de proyectos del SGR dirigidos al sector ambiente y desarrollo sostenible</t>
  </si>
  <si>
    <t>Participación del sector minero energético en el PIB nacional</t>
  </si>
  <si>
    <t>Participación del sector minero energético en las exportaciones del país</t>
  </si>
  <si>
    <t xml:space="preserve">Subsector de hidrocarburos </t>
  </si>
  <si>
    <t>Pobreza multidimensional en municipios productores de hidrocarburos.</t>
  </si>
  <si>
    <t>Índice de cobertura y equidad territorial en municipios productores</t>
  </si>
  <si>
    <t>Participación de los hidrocarburos en la matriz energética (IPHME)</t>
  </si>
  <si>
    <t>Información</t>
  </si>
  <si>
    <t>Variación del stock de hidrocarburos</t>
  </si>
  <si>
    <t xml:space="preserve">Información </t>
  </si>
  <si>
    <t>Disponibilidad de reservas de hidrocarburos (R/P)</t>
  </si>
  <si>
    <t>Tasa de extracción de hidrocarburos (TEH)</t>
  </si>
  <si>
    <t xml:space="preserve">Subsector de minería </t>
  </si>
  <si>
    <t>Legitimidad - Cumplimiento legal</t>
  </si>
  <si>
    <t>Superposición de títulos mineros activos con áreas ambientales excluibles, restrictivas e informativas para la minería</t>
  </si>
  <si>
    <t>Superposición de áreas de reserva especial declaradas y solicitadas con áreas ambientales excluibles, restrictivas e informativas para la minería</t>
  </si>
  <si>
    <t>Capacidad - Capacidad institucional</t>
  </si>
  <si>
    <t>Procesos de formalización y registro minero</t>
  </si>
  <si>
    <t>Capacidad - Capacidad institucional para actuar</t>
  </si>
  <si>
    <t>Áreas recuperadas por gestión y control a la explotación ilegal de minerales</t>
  </si>
  <si>
    <t>Subsector de energía eléctrica</t>
  </si>
  <si>
    <t>Variación del Consumo de Energía Eléctrica en el país.</t>
  </si>
  <si>
    <t>Variación en el nivel de pobreza energética multidimensional nacional.</t>
  </si>
  <si>
    <t>Variación en la cobertura en el acceso al servicio de energía eléctrica en el país.</t>
  </si>
  <si>
    <t>Participación – Acceso a la Información</t>
  </si>
  <si>
    <t>Porcentaje de Informes de Sostenibilidad anuales publicados por empresas generadoras del país.</t>
  </si>
  <si>
    <t>Criterio 1 ¿El indicador tiene un relación directa y significativa con la definición de gobernanza? Si/No</t>
  </si>
  <si>
    <t>Criterio 2 ¿El indicador puede ser mejorado a través de la gestión del Ministerio de Minas y Energía? Si/No</t>
  </si>
  <si>
    <t>1.1.2. Número total de derechos ambientales reconocidos en derechos internacionales</t>
  </si>
  <si>
    <t>Criterio 3 ¿El indicador tiene relación con el cumplimiento normativo del sector minero o ambiental ? Si/No</t>
  </si>
  <si>
    <t>01. Reconocimiento y protección de los derechos ambientales.docx</t>
  </si>
  <si>
    <t xml:space="preserve">Ficha Metodologica </t>
  </si>
  <si>
    <t>Criterio 4¿La información requerida para la medición del indicador es generada por el Ministerio de Minas y Energía y/o sus entidades adscritas o vinculadas? Si/NO</t>
  </si>
  <si>
    <t>Criterio 5 ¿El indicador tiene una frecuencia de medición igual o inferior a un año? Si/No</t>
  </si>
  <si>
    <t>Criterio 6¿A partir de los resultados del indicador, el Ministerio de Minas y Energía puede emprender acciones que se concreten en la reglamentación del sector o en la definición de políticas, planes, programas o proyectos? Si/No</t>
  </si>
  <si>
    <t>Criterio 7
Calificación promedio de la dimensión al que corresponde el indicador, en los talleres regionales</t>
  </si>
  <si>
    <t>Criterio 8
Calificación promedio del indicador en los talleres regionales</t>
  </si>
  <si>
    <t>Si</t>
  </si>
  <si>
    <t>Resultado del indicador 
(en sus unidades)</t>
  </si>
  <si>
    <t>Puntaje para la gobernanza</t>
  </si>
  <si>
    <t>Puntaje máximo del indicador</t>
  </si>
  <si>
    <t>Porcentaje alcanzado</t>
  </si>
  <si>
    <t>02. Contexto favorable para el ejercicio de los derechos ambientales.docx</t>
  </si>
  <si>
    <t>03. Análisis de impacto regulatorio con dimensión ambiental.docx</t>
  </si>
  <si>
    <t>04. Evaluación ex post de regulaciones.docx</t>
  </si>
  <si>
    <t>05. Procesos de consulta pública en la producción normativa.docx</t>
  </si>
  <si>
    <t>06. Puntaje del SME en el Índice de Desempaño Institucional.docx</t>
  </si>
  <si>
    <t>07. Coordinación interinstitucional.docx</t>
  </si>
  <si>
    <t>08. Acceso a justicia.docx</t>
  </si>
  <si>
    <t>09. Participación Ciudadana.docx</t>
  </si>
  <si>
    <t>10. Interacción de género y enfoque diferencial.docx</t>
  </si>
  <si>
    <t>11. Conflictividad Socioambiental.docx</t>
  </si>
  <si>
    <t>12. Cumplimiento a PQRSD (peticiones, quejas, reclamos, sugerencias y denuncias).docx</t>
  </si>
  <si>
    <t>13. Variación de la demanda hídrica.docx</t>
  </si>
  <si>
    <t>14. Variación de la huella hídrica azul.docx</t>
  </si>
  <si>
    <t>15. Variación del área compensada para el sector minero energético.docx</t>
  </si>
  <si>
    <t>16. Área de superposición de cada subsector minero energético con determinantes ambientales..docx</t>
  </si>
  <si>
    <t>17. Área de superposición de cada subsector minero energético con áreas prioritarias de conservación..docx</t>
  </si>
  <si>
    <t>18. Variación de la generación de residuos peligrosos (respel) por unidad producida.docx</t>
  </si>
  <si>
    <t>19. Licenciamiento Ambiental.docx</t>
  </si>
  <si>
    <t>20. Procesos Sancionatorios Ambientales.docx</t>
  </si>
  <si>
    <t>21. Variación de emisiones de GEI del SME.docx</t>
  </si>
  <si>
    <t>22. Tasa de Variación del Financiamiento Climático.docx</t>
  </si>
  <si>
    <t>23. Índice de vulnerabilidad climática.docx</t>
  </si>
  <si>
    <t>24. Índice de Derrames de Hidrocarburos (IDH).docx</t>
  </si>
  <si>
    <t>25. Índice de Gravedad de Accidentes Mineros (IGAM).docx</t>
  </si>
  <si>
    <t>26. Índice de Severidad de Accidentes Eléctricos (ISAE).docx</t>
  </si>
  <si>
    <t>27. Variación de la intensidad energética del sector minero energético.docx</t>
  </si>
  <si>
    <t>28. Variación de la intensidad energética nacional.docx</t>
  </si>
  <si>
    <t>29. Participación de las FNCER en la matriz energética primaria..docx</t>
  </si>
  <si>
    <t>30. Participación de las FNCER en la matriz energética eléctrica.docx</t>
  </si>
  <si>
    <t>31. Producción de Minerales Estratégicos y Críticos para la TEJ.docx</t>
  </si>
  <si>
    <t>32. Pobreza multidimensional en municipios productores de minerales estratégicos para la Transición Energética Justa..docx</t>
  </si>
  <si>
    <t>33. Recaudo efectivo de Regalías.docx</t>
  </si>
  <si>
    <t>34. Regalías destinadas al sector Ambiente y Desarrollo Sostenible.docx</t>
  </si>
  <si>
    <t>35. Variación del número de proyectos del SGR dirigidos al sector Ambiente y Desarrollo Sostenible.docx</t>
  </si>
  <si>
    <t>36. Participación del sector Minero Energético en el PIB nacional.docx</t>
  </si>
  <si>
    <t>37. Participación del sector Minero Energético en las exportaciones del país.docx</t>
  </si>
  <si>
    <t>38. Pobreza multidimensional en municipios productores de hidrocarburos..docx</t>
  </si>
  <si>
    <t>39. Cobertura y equidad territorial en municipios productores de hidrocarburos.docx</t>
  </si>
  <si>
    <t>40. Participación de los hidrocarburos en la matriz energética (IPHME).docx</t>
  </si>
  <si>
    <t>41. Variación del stock de hidrocarburos.docx</t>
  </si>
  <si>
    <t>42. Disponibilidad de reservas de hidrocarburos.docx</t>
  </si>
  <si>
    <t>43. Tasa de extracción de hidrocarburos (TEH).docx</t>
  </si>
  <si>
    <t>44. Superposición de títulos mineros activos con áreas ambientales excluibles....docx</t>
  </si>
  <si>
    <t>45. Superposición de áreas de reserva especial declaradas y solicitadas con áreas ambientales excluibles,....docx</t>
  </si>
  <si>
    <t>46. Procesos de formalización y registro Minero.docx</t>
  </si>
  <si>
    <t>47. Áreas recuperadas por gestión y control por explotación ilegal de minerales.docx</t>
  </si>
  <si>
    <t>48. Variación del Consumo de Energía Eléctrica en el país..docx</t>
  </si>
  <si>
    <t>49. Variación en el nivel de pobreza energética multidimensional nacional.docx</t>
  </si>
  <si>
    <t>50. Variación en la cobertura en el acceso al servicio de energía eléctrica en el país..docx</t>
  </si>
  <si>
    <t>51. Porcentaje de Informes de Sostenibilidad anuales publicados por empresas generadoras del país..docx</t>
  </si>
  <si>
    <t xml:space="preserve">Número de derechos para el cual existe una mención expresa en la Política de Derechos Humanos del Sector Minero-Energético , estrategia de transversalización del enfoque de DDHH, compromiso Político del Ministerio de Minas y Energía con la protección, respeto y promoción de los derechos en el marco de las operaciones del sector minero-energético,guía Introductoria en Empresas y Derechos Humanos y guía para la integración del enfoque de Derechos Humanos en el Desarrollo de las Políticas Públicas del Ministerio de Minas y Energía </t>
  </si>
  <si>
    <t xml:space="preserve">Numero de derechos humanos ambientales reconocidos internacionalmente : acceso a la información, derecho a la participación, consulta previa, ambiente sano y acceso a justicia.  </t>
  </si>
  <si>
    <t>https://www.minenergia.gov.co/es/misional/gestión-social-y-ambiental/derechos-humanos/ </t>
  </si>
  <si>
    <t xml:space="preserve">Fuente:Tabla 9. Revisión documentos derechos humanos, Producto E: Documento técnico que contenga la metodología ajustada y validada para la definición y estimación de los indicadores de gobernanza ambiental del sector minero energético y el desarrollo metodológico para el cálculo de los indicadores de gobernanza para el año 2023. </t>
  </si>
  <si>
    <t>Ministerio de minas y energia</t>
  </si>
  <si>
    <t xml:space="preserve">Instituto de Estudios Ambientales -IDEA-  </t>
  </si>
  <si>
    <t xml:space="preserve">marzo 31 de 2025 </t>
  </si>
  <si>
    <t>Publicacion</t>
  </si>
  <si>
    <t>Calculo del grado de incorporación formal de los derechos ambientales en la política sectorial de acuerdo a la siguiente formula</t>
  </si>
  <si>
    <t xml:space="preserve">Producto E: Documento técnico que contenga la metodología ajustada y validada para la definición y estimación de los indicadores de gobernanza ambiental del sector minero energético y el desarrollo metodológico para el cálculo de los indicadores de gobernanza para el año 2023. </t>
  </si>
  <si>
    <t>Evalúa los siguientes tres elementos: 1) la incorporación formal de los siguientes derechos: i) acceso a la información, ii) participación en materia ambiental, iii) acceso a justicia, iv) consulta previa y v) derecho a un ambiente sano (este listado puede aumentar en la medida que se reconozcan nuevos derechos ambientales en el ámbito internacional) en la política en derechos humanos del sector Minero Energético; 2) el porcentaje de ejecución de la política de derechos humanos y 3) la existencia de un presupuesto preciso para la ejecución de la política de derechos humanos</t>
  </si>
  <si>
    <t>Luis Fernando Sánchez Supelano</t>
  </si>
  <si>
    <t>Creacion</t>
  </si>
  <si>
    <t>28 de marzo de 2025</t>
  </si>
  <si>
    <t>Acciones en específico para implementar la Política Sectoria pública de Derechos Humanos que cuente con los siguientes elementos i) cronograma; ii) indicadores, iii) esquema de seguimiento.</t>
  </si>
  <si>
    <t xml:space="preserve">Número de acciones  para implementar la Política Sectoria pública de Derechos Humanos  </t>
  </si>
  <si>
    <t xml:space="preserve">Calculo del grado de incorporación al plan de acción e implementación Política de derechos humanos </t>
  </si>
  <si>
    <t xml:space="preserve">1.1.3.Puntuación reconocimiento formal derechos ambientales </t>
  </si>
  <si>
    <t xml:space="preserve">1.2.1. Número de acciones  para implementar la Política Sectoria pública de Derechos Humanos  </t>
  </si>
  <si>
    <t>1.2.2.Acciones en específico para implementar la Política Sectoria pública de Derechos Humanos</t>
  </si>
  <si>
    <t xml:space="preserve">1.3.1.Revisión asignaciones presupuestales </t>
  </si>
  <si>
    <t xml:space="preserve">Puntaje indicador reconocimiento y protección derechos ambientales </t>
  </si>
  <si>
    <t xml:space="preserve">Se asigna puntaje definitivo para el indicador sumando los resultados obtenidos en el paso 4, 5 y 8 descrito en  Producto E: Documento técnico que contenga la metodología ajustada y validada para la definición y estimación de los indicadores de gobernanza ambiental del sector minero energético y el desarrollo metodológico para el cálculo de los indicadores de gobernanza para el año 2023. </t>
  </si>
  <si>
    <t>Porcentaje de los derechos ambientales en la política sectorial de derechos humanos</t>
  </si>
  <si>
    <t>https://www.minenergia.gov.co/es/misional/gestión-social-y-ambiental/derechos-humanos/  </t>
  </si>
  <si>
    <t xml:space="preserve">Crear tabla para proximos años Producto E: Documento técnico que contenga la metodología ajustada y validada para la definición y estimación de los indicadores de gobernanza ambiental del sector minero energético y el desarrollo metodológico para el cálculo de los indicadores de gobernanza para el año 2023. </t>
  </si>
  <si>
    <t xml:space="preserve">https://www.minenergia.gov.co/es/ministerio/gestión/presupuesto/presupuesto-general-asignado/  Tabla 12. Revisión asignaciones presupuestales  Producto E: Documento técnico que contenga la metodología ajustada y validada para la definición y estimación de los indicadores de gobernanza ambiental del sector minero energético y el desarrollo metodológico para el cálculo de los indicadores de gobernanza para el año 2023. </t>
  </si>
  <si>
    <t>Asignación presupuestal específica para la implementación de la Ppolítica Sectorial pública de derechos humanos s del sector (tomando como referencia los nombres de los proyectos de inversión que se encuentran en el presupuesto)</t>
  </si>
  <si>
    <t>2.Contexto favorable para el ejercicio de los derechos ambientales</t>
  </si>
  <si>
    <t>Con los datos tomados del sistema de alertas tempranas alertas que relacionan temas mineros (especialmente ligada a minería ilegal) 2023</t>
  </si>
  <si>
    <t>https://alertastempranas.defensoria.gov.co/Alerta/Tablero  </t>
  </si>
  <si>
    <t>Con los datos tomados del sistema de alertas tempranas  se revisa la información disponible en el sistema de alerta temprana de la defensoría del pueblo</t>
  </si>
  <si>
    <t>Suma de Porcentaje alcanzado</t>
  </si>
  <si>
    <t>Etiquetas de fila</t>
  </si>
  <si>
    <t>Total general</t>
  </si>
  <si>
    <t>Suma de Puntaje para la gobernanza</t>
  </si>
  <si>
    <t>Suma de Puntaje máximo del indicador</t>
  </si>
  <si>
    <t>Dimension</t>
  </si>
  <si>
    <t xml:space="preserve">Porcentaje </t>
  </si>
  <si>
    <t>Parte oculta</t>
  </si>
  <si>
    <t xml:space="preserve">Parte visble </t>
  </si>
  <si>
    <t xml:space="preserve">Base </t>
  </si>
  <si>
    <t xml:space="preserve">Indicadores </t>
  </si>
  <si>
    <t xml:space="preserve">Porcentaje restante </t>
  </si>
  <si>
    <t xml:space="preserve">Indicador </t>
  </si>
  <si>
    <t>Porcentaje</t>
  </si>
  <si>
    <t>2.1.1.Número Total de alertas tempranas con seguimiento durante el año</t>
  </si>
  <si>
    <t>2.1.2.Número Total de alertas tempranas durante el año</t>
  </si>
  <si>
    <t>2.1.3.puntaje por Gestión frente alertas tempranas</t>
  </si>
  <si>
    <t>2.2.1 número Total de alertas tempranas con cierre durante el año</t>
  </si>
  <si>
    <t>Puntuación contexto favorable ejercicio de los derechos ambientales</t>
  </si>
  <si>
    <t xml:space="preserve">3.Analisis de impacto regulatorio con dimension ambiental </t>
  </si>
  <si>
    <t>3.1.1.Numero de documentos que contienen analisis de variables ambientales</t>
  </si>
  <si>
    <t>3.1.2. Numero de estudios de impacto normativo realizados durante el año</t>
  </si>
  <si>
    <t>3.1.3.AIN/Analisis de la variable ambiental</t>
  </si>
  <si>
    <t xml:space="preserve">Analisis de impacto regulatorio con dimension ambiental </t>
  </si>
  <si>
    <t>Puntuación dimensión ambiental análisis de impacto normativo</t>
  </si>
  <si>
    <t>2.2.2.Puntaje por resultados frente alertas tempranas</t>
  </si>
  <si>
    <t>4.Evaluación ex post de regulaciones</t>
  </si>
  <si>
    <t>Baja</t>
  </si>
  <si>
    <t>4.1.1.Consideración necesidad evaluación ex post</t>
  </si>
  <si>
    <t>4.2.1.Numero de Documentos de evaluación expost</t>
  </si>
  <si>
    <t>4.2.1.Numero de Documentos que contiene la variable ambiental  evaluación expost</t>
  </si>
  <si>
    <t>4.2.3.Cantidad de evaluaciones expost que incorporaron el análisis de la variable ambiental</t>
  </si>
  <si>
    <t>Valoración puntaje evaluación ex post</t>
  </si>
  <si>
    <t>5. Procesos de consulta publica en la producción Normativa</t>
  </si>
  <si>
    <t>5.1.1. Numero de decretos sometidos a consultas</t>
  </si>
  <si>
    <t xml:space="preserve">5.1.2 Numero de decretos </t>
  </si>
  <si>
    <t>5.1.3. Formula dcretos en consulta/N decretos</t>
  </si>
  <si>
    <t>Procesos de consulta publica en la producción Normativa</t>
  </si>
  <si>
    <t>Puntaje consulta pública normatividad</t>
  </si>
  <si>
    <t xml:space="preserve">Analisis Institucional </t>
  </si>
  <si>
    <t xml:space="preserve">6. Puntaje del sector de minas y energia en el indice de desempeño  Institucional </t>
  </si>
  <si>
    <t xml:space="preserve">6.1.1. promedio obtenido en el sector de minas y energia del resultado desempeño institucional  </t>
  </si>
  <si>
    <t>6.1.2.Puntaje correspondiente al índice de gobernanza</t>
  </si>
  <si>
    <t>6.1.3.Puntaje obtenido en el Índice de desempeño instituciona</t>
  </si>
  <si>
    <t>6.1.4.Puntaje obtenido en el año de referencia en el IDI (POIDI)</t>
  </si>
  <si>
    <t xml:space="preserve">Puntaje del sector de minas y energia en el indice de desempeño  Institucional </t>
  </si>
  <si>
    <t>Puntuación promedio desempeño institucional</t>
  </si>
  <si>
    <t xml:space="preserve">7. Coordinación interinstitucional </t>
  </si>
  <si>
    <t>7.1.1.Puntuación existencia y funcionamiento mecanismos coordinación</t>
  </si>
  <si>
    <t>7.1.2.Nivel de cumplimiento de los instrumentos de coordinación interinstitucional a través de a) derecho de petición a la Oficina de Asuntos Ambientales y Sociales del Ministerio de Minas y Energía, b) revisiones informes de rendición de cuentas, c) informes de seguimiento a los planes formulados en el contexto de los mecanismos de coordinación interinstitucional</t>
  </si>
  <si>
    <t>Alto</t>
  </si>
  <si>
    <t>Interpretación Puntaje total para el índice</t>
  </si>
  <si>
    <t xml:space="preserve">Coordinación interinstitucional </t>
  </si>
  <si>
    <t>8. Acceso a la justicia</t>
  </si>
  <si>
    <t>Acceso a la justicia</t>
  </si>
  <si>
    <t>8.1.2. Numero de procesos judiciales con órdenes directas para el Ministerio de Minas y Energía</t>
  </si>
  <si>
    <t>8.1.1. Numero de ordenes que no registran acciones pendientes de realizar y por tanto se entienden como cumplidas</t>
  </si>
  <si>
    <t>8.1.3. Formula relacion que se entienden como cumplidas y numero de procesos directos del MME</t>
  </si>
  <si>
    <t>Puntuación cumplimiento órdenes judiciales</t>
  </si>
  <si>
    <t xml:space="preserve"> Participación ciudadana</t>
  </si>
  <si>
    <t>Interpretación del indicador de Participación Ciudadana</t>
  </si>
  <si>
    <t xml:space="preserve">10.3.1. %Mujeres 2022 </t>
  </si>
  <si>
    <t xml:space="preserve">10.3.2.%Adulto mayor 2022 </t>
  </si>
  <si>
    <t xml:space="preserve">10.3.3.%Población con discapacidad 2022 </t>
  </si>
  <si>
    <t xml:space="preserve">10.3.4.%Grupos étnicos 2022 </t>
  </si>
  <si>
    <t xml:space="preserve">10.3.5. %Desplazados 2022 </t>
  </si>
  <si>
    <t xml:space="preserve">10.3.6.%Víctimas del conflicto armado 2022 </t>
  </si>
  <si>
    <t xml:space="preserve">10.4.1.%Mujeres 4043 </t>
  </si>
  <si>
    <t xml:space="preserve">10.4.2.%Adulto mayor 4043 </t>
  </si>
  <si>
    <t xml:space="preserve">10.4.3.%Población con discapacidad 4044 </t>
  </si>
  <si>
    <t xml:space="preserve">10.4.4.%Grupos étnicos 4043 </t>
  </si>
  <si>
    <t xml:space="preserve">10.4.5.%Desplazados 4043 </t>
  </si>
  <si>
    <t xml:space="preserve">10.4.6.%Víctimas del conflicto armado 4043 </t>
  </si>
  <si>
    <t>10.5.1.𝐼𝑛𝑡𝑒𝑟𝑎𝑐𝑐𝑖ó𝑛 𝑚𝑢𝑗𝑒𝑟𝑒𝑠 𝑐𝑎𝑏𝑒𝑧𝑎 𝑑𝑒 𝑓𝑎𝑚𝑖𝑙𝑖𝑎</t>
  </si>
  <si>
    <t>10.5.2. 𝐼𝑛𝑡𝑒𝑟𝑎𝑐𝑐𝑖ó𝑛 𝑎𝑑𝑢𝑙𝑡𝑜 𝑚𝑎𝑦𝑜𝑟</t>
  </si>
  <si>
    <t>10.5.3.𝐼𝑛𝑡𝑒𝑟𝑎𝑐𝑐𝑖ó𝑛 𝑝𝑜𝑏𝑙𝑎𝑐𝑖ó𝑛 𝑐𝑜𝑛 𝑑𝑖𝑠𝑐𝑎𝑝𝑎𝑐𝑖𝑑𝑎𝑑</t>
  </si>
  <si>
    <t>10.5.4. 𝐼𝑛𝑡𝑒𝑟𝑎𝑐𝑐𝑖ó𝑛 𝑔𝑟𝑢𝑝𝑜 é𝑡𝑛𝑖𝑐𝑜</t>
  </si>
  <si>
    <t>10.5.5.𝐼𝑛𝑡𝑒𝑟𝑎𝑐𝑐𝑖ó𝑛 𝑑𝑒𝑠𝑝𝑙𝑎𝑧𝑎𝑑𝑜𝑠</t>
  </si>
  <si>
    <t>10.5.6.𝐼𝑛𝑡𝑒𝑟𝑎𝑐𝑐𝑖ó𝑛 𝑣í𝑐𝑡𝑖𝑚𝑎𝑠 𝑑𝑒𝑙 𝑐𝑜𝑛𝑓𝑙𝑖𝑐𝑡𝑜</t>
  </si>
  <si>
    <t>Interpretación del indicador de interacción de género y enfoque diferencial</t>
  </si>
  <si>
    <t xml:space="preserve">Conflictividad socioambiental </t>
  </si>
  <si>
    <t>Interpretación del indicador de Conflictividad socioambiental</t>
  </si>
  <si>
    <t>12.1.1. Porcentaje de PQRS  atendidas I informe 2023</t>
  </si>
  <si>
    <t>12.1.2. Porcentaje de PQRS  atendidas II informe 2023</t>
  </si>
  <si>
    <t>12.1.3. Porcentaje de PQRS  atendidas II informe 2023</t>
  </si>
  <si>
    <t>12.1.4. Porcentaje de PQRS  atendidas IV informe 2023</t>
  </si>
  <si>
    <t>Interpretación del indicador de Cumplimiento a PQRSD</t>
  </si>
  <si>
    <t>Biofisica y ecologica</t>
  </si>
  <si>
    <t>13.Variación de la demanda hídrica</t>
  </si>
  <si>
    <t>13.1.1. Estudio Nacional del Agua Energia 2012</t>
  </si>
  <si>
    <t>13.1.2. Estudio Nacional del Agua Mineria 2012</t>
  </si>
  <si>
    <t>13.1.3. Estudio Nacional del Agua Hidrocarburos 2012</t>
  </si>
  <si>
    <t>13.1.3. Estudio Nacional del Agua Hidrocarburos 2016</t>
  </si>
  <si>
    <t>13.1.1. Estudio Nacional del Agua Energia 2016</t>
  </si>
  <si>
    <t>13.1.2. Estudio Nacional del Agua Mineria 2016</t>
  </si>
  <si>
    <t>13.1.1. Estudio Nacional del Agua Energia 2020</t>
  </si>
  <si>
    <t>13.1.2. Estudio Nacional del Agua Mineria 2020</t>
  </si>
  <si>
    <t>13.1.3. Estudio Nacional del Agua Hidrocarburos 2020</t>
  </si>
  <si>
    <t>13.2.1. Energia 2012-2016</t>
  </si>
  <si>
    <t>13.2.2. Mineria 2012-2016</t>
  </si>
  <si>
    <t>13.2.3. Hidrocarburos 2012-2016</t>
  </si>
  <si>
    <t>13.3.1. Energia 2016-2020</t>
  </si>
  <si>
    <t>13.3.2. Mineria 2016-2020</t>
  </si>
  <si>
    <t>13.3.3. Hidrocarburos 2016-2020</t>
  </si>
  <si>
    <t>Interpretación de resultados para la variación de la demanda hídrica</t>
  </si>
  <si>
    <t xml:space="preserve">14.1.1. Huella hidrica azul 2016 Energia </t>
  </si>
  <si>
    <t>14.1.1. Huella hidrica azul 2016 Mineria</t>
  </si>
  <si>
    <t>14.1.1. Huella hidrica azul 2016 Hidrocarburos</t>
  </si>
  <si>
    <t>14.2.1. Huella hidrica azul 2020 Energia</t>
  </si>
  <si>
    <t>14.2.2. Huella hidrica azul 2020 Mineria</t>
  </si>
  <si>
    <t>14.2.3. Huella hidrica azul 2020 Hidrocarburos</t>
  </si>
  <si>
    <t>14.3.1. Variación cuatrianual de la huella hídrica azul hidrocarburos</t>
  </si>
  <si>
    <t>14.3.2. Variación cuatrianual de la huella hídrica azul Mineria</t>
  </si>
  <si>
    <t>14.3.1. Variación cuatrianual de la huella hídrica azul Energia</t>
  </si>
  <si>
    <t>14.Variación de la huella hidrica  azul</t>
  </si>
  <si>
    <t>Variación de la huella hidrica azul</t>
  </si>
  <si>
    <t>15. Variación del área compensada para el sector minero energético</t>
  </si>
  <si>
    <t>15.1.1. Área compensada energia 2020</t>
  </si>
  <si>
    <t>15.1.2. Área compensada energia 2021</t>
  </si>
  <si>
    <t>15.1.3 Área compensada energia 2022</t>
  </si>
  <si>
    <t>15.1.4. Área compensada energia 2023</t>
  </si>
  <si>
    <t>15.2.1 Área compensada mineria  2020</t>
  </si>
  <si>
    <t>15.2.2. Área compensada mineria  2021</t>
  </si>
  <si>
    <t>15.2.3 Área compensada mineria  2022</t>
  </si>
  <si>
    <t>15.2.4. Área compensada mineria  2023</t>
  </si>
  <si>
    <t>15.3.1. Área compensada hidrocarburos  2020</t>
  </si>
  <si>
    <t>15.3.2. Área compensada hidrocarburos  2021</t>
  </si>
  <si>
    <t>15.3.3 Área compensada hidrocarburos  2022</t>
  </si>
  <si>
    <t>15.3.4. Área compensada hidrocarburos  2023</t>
  </si>
  <si>
    <t>15.4.1. Variación interanual del área compensada 2020-2021 Energia</t>
  </si>
  <si>
    <t>15.4.2. Variación interanual del área compensada 2021-2022 Energia</t>
  </si>
  <si>
    <t>15.4.3. Variación interanual del área compensada 2022-2023 Energia</t>
  </si>
  <si>
    <t>15.4.4. Variación interanual del área compensada 2020-2021 Mineria</t>
  </si>
  <si>
    <t>15.4.5. Variación interanual del área compensada 2021-2022 Mineria</t>
  </si>
  <si>
    <t>15.4.6. Variación interanual del área compensada 2022-2023 Mineria</t>
  </si>
  <si>
    <t>15.4.7. Variación interanual del área compensada 2020-2021 Hidrocarburos</t>
  </si>
  <si>
    <t>15.4.8. Variación interanual del área compensada 2021-2022 Hidrocarburos</t>
  </si>
  <si>
    <t>15.4.9. Variación interanual del área compensada 2022-2023 Hidrocarburos</t>
  </si>
  <si>
    <t>Variación del área compensada para el sector minero energético</t>
  </si>
  <si>
    <t>16. Área de superposición de cada subsector minero energético con determinantes ambientales</t>
  </si>
  <si>
    <t>16.1.1. Area en hectareas titulos en etapa de exploración</t>
  </si>
  <si>
    <t xml:space="preserve">16.1.4. Total de hectareas  titulos mineros activos </t>
  </si>
  <si>
    <t xml:space="preserve">16.2.1. Superposicion de titulos en etapa de exploración en areas excluibles </t>
  </si>
  <si>
    <t>16.2.5. Superposicion de titulos en etapa de construccion y montaje en areas restringidas</t>
  </si>
  <si>
    <t>16.3.1. Superposición titulos mineros activos  con áreas ambientales excluibles año 2023 (Hectáreas)</t>
  </si>
  <si>
    <t>16.3.2. Superposición titulos mineros activos con áreas ambientales restringidas año 2023 (Hectáreas)</t>
  </si>
  <si>
    <t>16.3.3. Superposición con áreas ambientales informativas año 2023 (Hectáreas)</t>
  </si>
  <si>
    <t>16.2.9. Superposicion de titulos en etapa de explotación en areas informativas</t>
  </si>
  <si>
    <t>16.4.1.Area en hectareas poligono en exploración</t>
  </si>
  <si>
    <t>16.4.2.Area en hectareas poligono en producción</t>
  </si>
  <si>
    <t>16.4.3. Area total en hectareas poligonos hidrocarburos</t>
  </si>
  <si>
    <t>16.5.1.Superposición con poligonos de hidrocarbruros en etapa de exploración determinantes ambientales para el año 2023 (Hectáreas)</t>
  </si>
  <si>
    <t>16.5.2.Superposición con poligonos de hidrocarbruros en etapa de producción determinantes ambientales para el año 2023 (Hectáreas)</t>
  </si>
  <si>
    <t>16.5.3. Total Superposición poligonos hidrocarburos con determinantes ambientales para el año 2023 (Hectáreas)</t>
  </si>
  <si>
    <t>16.6.1. servidumbre areas en hectareas Lineas de Transmisión Regional</t>
  </si>
  <si>
    <t>16.6.2. servidumbre areas en hectareas Lineas de Transmisión Nacional</t>
  </si>
  <si>
    <t>16.6.3. Area total lineas de transmisión</t>
  </si>
  <si>
    <t>16.2.2. Superposicion de titulos en etapa de construccion y montaje  en areas excluibles</t>
  </si>
  <si>
    <t>16.2.3. Superposicion de titulos en etapa de explotación en areas excluibles</t>
  </si>
  <si>
    <t xml:space="preserve">16.2.4. Superposicion de titulos en etapa de exploracion en areas restringidas </t>
  </si>
  <si>
    <t xml:space="preserve">16.2.6. Superposicion de titulos en etapa de explotación en areas restringidas </t>
  </si>
  <si>
    <t>16.2.7. Superposicion de titulos en etapa de  exploracion en areas informativas</t>
  </si>
  <si>
    <t>16.2.8. Superposicion de titulos en etapa de construcción y montaje en areas informativas</t>
  </si>
  <si>
    <t>16.8.4. Porcentaje de superposición titulos en etapa de exploración con areas excluibles</t>
  </si>
  <si>
    <t>16.8.5. Porcentaje de superposición titulos en etapa de exploración con areas excluibles</t>
  </si>
  <si>
    <t>16.8.6. Porcentaje de superposición titulos en etapa de exploración con areas excluibles</t>
  </si>
  <si>
    <t>16.8.7. Porcentaje de superposición titulos en etapa de exploración con areas restringidas</t>
  </si>
  <si>
    <t>16.8.8. Porcentaje de superposición titulos en etapa de exploración con areas restringidas</t>
  </si>
  <si>
    <t>16.8.9. Porcentaje de superposición titulos en etapa de exploración con areas restringidas</t>
  </si>
  <si>
    <t>16.8.10. Porcentaje de superposición titulos en etapa de exploración con areas informativas</t>
  </si>
  <si>
    <t>16.8.11. Porcentaje de superposición titulos en etapa de exploración con areas informativas</t>
  </si>
  <si>
    <t>16.8.12. Porcentaje de superposición titulos en etapa de exploración con areas informativas</t>
  </si>
  <si>
    <t>16.9.1. Superposición total de títulos activos con áreas ambientales Excluibles</t>
  </si>
  <si>
    <t>16.9.1. Superposición total de títulos activos con áreas ambientales Restringidas</t>
  </si>
  <si>
    <t>16.9.1. Superposición total de títulos activos con áreas ambientales Informativas</t>
  </si>
  <si>
    <t>16.10.1. %𝐴𝑆𝐷𝐴 𝑆𝑒𝑐𝑡𝑜𝑟 𝑚𝑖𝑛𝑒𝑟𝑜</t>
  </si>
  <si>
    <t>16.2.10.Área Ha total de titulos que presentan alguna superposicicion exploracion</t>
  </si>
  <si>
    <t>16.2.11. Área Ha total de titulos que presentan alguna superposicicion Construccion y Montaje</t>
  </si>
  <si>
    <t>16.2.12. Área  Ha total de titulos que presentan alguna superposicicion explotación</t>
  </si>
  <si>
    <t>16.5.4.  Área Ha total de poligonos hidrocarburos que presentan alguna superposicicion exploración</t>
  </si>
  <si>
    <t>16.5.5.Área Ha total de poligonos hidrocarburos que presentan alguna superposicicion producción</t>
  </si>
  <si>
    <t>16.11.1. Superposición de polígonos  hidrocarburos activos con determinantes ambientales exploracion</t>
  </si>
  <si>
    <t>16.11.2. Superposición de polígonos  hidrocarburos activos con determinantes ambientales producción</t>
  </si>
  <si>
    <t>16.12.1. %𝐴𝑆𝐷𝐴 𝑆𝑒𝑐𝑡𝑜𝑟 ℎ𝑖𝑑𝑟𝑜𝑐𝑎𝑟𝑏𝑢𝑟𝑜𝑠</t>
  </si>
  <si>
    <t>16.13.1. %𝐴𝑆𝐷𝐴 𝑆𝑒𝑐𝑡𝑜𝑟 𝑒𝑛𝑒𝑟𝑔í𝑎 𝑒𝑙é𝑐𝑡𝑟𝑖𝑐𝑎</t>
  </si>
  <si>
    <t>Interpretación de resultados para la superposición del sector minero energético con determinantes ambientales</t>
  </si>
  <si>
    <t>Criterios para calificar la variación del área compensada en el índice de gobernanza</t>
  </si>
  <si>
    <t>17. Área de superposición de cada subsector minero energetico con areas prioritarias de conservación</t>
  </si>
  <si>
    <t>17.1.1. Area en hectareas titulos en etapa de exploración</t>
  </si>
  <si>
    <t xml:space="preserve">17.1.4. Total de hectareas  titulos mineros activos </t>
  </si>
  <si>
    <t>16.1.2. Area en hectareas titulos en etapa de construcción y montaje</t>
  </si>
  <si>
    <t>16.1.3. Area en hectareas titulos en etapa de explotación</t>
  </si>
  <si>
    <t>17.1.2. Area en hectareas titulos en etapa de construcción y montaje</t>
  </si>
  <si>
    <t>17.1.3. Area en hectareas titulos en etapa de explotación</t>
  </si>
  <si>
    <t>17.2.1. Superposición con distribución de especies año 2023 (Hectáreas) titulos en etapa de exploración</t>
  </si>
  <si>
    <t>17.2.2. Superposición con distribución de especies año 2023 (Hectáreas) titulos en etapa de construcción y montaje</t>
  </si>
  <si>
    <t>17.2.3. Superposición con distribución de especies año 2023 (Hectáreas)s titulos en etapa de explotación</t>
  </si>
  <si>
    <t xml:space="preserve">17.2.4. Total Superposición con distribución de especies año 2023 (Hectáreas) titulos mineros activos </t>
  </si>
  <si>
    <t>17.3.1.Area en hectareas poligono en exploración</t>
  </si>
  <si>
    <t>17.3.2.Area en hectareas poligono en producción</t>
  </si>
  <si>
    <t>17.3.3. Area total en hectareas poligonos hidrocarburos</t>
  </si>
  <si>
    <t xml:space="preserve">17.4.1. poligono en exploración Superposición distribución de especies para el año </t>
  </si>
  <si>
    <t xml:space="preserve">17.4.2. poligono en producción Superposición distribución de especies para el año </t>
  </si>
  <si>
    <t xml:space="preserve">17.4.3. Superposición poligonos hidrocarburos distribución de especies para el año </t>
  </si>
  <si>
    <t>17.5.1. servidumbre areas en hectareas Lineas de Transmisión Regional</t>
  </si>
  <si>
    <t>17.5.2. servidumbre areas en hectareas Lineas de Transmisión Nacional</t>
  </si>
  <si>
    <t>17.5.3. Area total lineas de transmisión</t>
  </si>
  <si>
    <t>17.6.1. Superposición con distribución de especies para el año Lineas de Transmision Regional</t>
  </si>
  <si>
    <t>17.6.2. Superposición con distribución de especies para el año Lineas de Transmision Negional</t>
  </si>
  <si>
    <t>17.6.3. sumatoria Superposición con distribución de especies para el año transmisión</t>
  </si>
  <si>
    <t>17.2.6. área total de títulos o proyectos activos del subsector que presentan alguna superposición construcción y montaje</t>
  </si>
  <si>
    <t>17.2.7. área total de títulos o proyectos activos del subsector que presentan alguna superposición explotación</t>
  </si>
  <si>
    <t>17.2.5. área total de títulos o proyectos activos del subsector que presentan alguna superposición exploración</t>
  </si>
  <si>
    <t>17.4.4.área total de títulos o proyectos activos del subsector que presentan alguna superposición exploración hidrocarburos</t>
  </si>
  <si>
    <t>17.4.5.área total de títulos o proyectos activos del subsector que presentan alguna superposición produccíon hidrocarburos</t>
  </si>
  <si>
    <t>17.6.4. área total de títulos o proyectos activos del subsector que presentan alguna superposición lineas de transmisioón Regional</t>
  </si>
  <si>
    <t>17.6.5. área total de títulos o proyectos activos del subsector que presentan alguna superposición lineas de transmisioón Nacional</t>
  </si>
  <si>
    <t>17.7.1. %𝐴𝑆𝐴𝑃𝐶 Exploracion mineria</t>
  </si>
  <si>
    <t>17.8.1. %𝐴𝑆𝐷𝐴 𝑆𝑒𝑐𝑡𝑜𝑟 𝑚𝑖𝑛𝑒𝑟𝑜</t>
  </si>
  <si>
    <t>17.7.2. %𝐴𝑆𝐴𝑃𝐶 Exploracion Construcción y montaje  mineria</t>
  </si>
  <si>
    <t>17.9.1. %𝐴𝑆𝐴𝑃𝐶 Exploración hidrocarburos</t>
  </si>
  <si>
    <t xml:space="preserve">17.7.3. %𝐴𝑆𝐴𝑃𝐶 Explotación  mineria </t>
  </si>
  <si>
    <t>17.10.1. %𝐴𝑆𝐴𝑃𝐶 𝑆𝑒𝑐𝑡𝑜𝑟 ℎ𝑖𝑑𝑟𝑜𝑐𝑎𝑟𝑏𝑢𝑟𝑜𝑠</t>
  </si>
  <si>
    <t>17.9.2. %𝐴𝑆𝐴𝑃𝐶 Producción hidrocarburos</t>
  </si>
  <si>
    <t>17.11.1. %𝐴𝑆𝐴𝑃𝐶 Líneas de transmisión regional</t>
  </si>
  <si>
    <t>17.11.2. %𝐴𝑆𝐴𝑃𝐶 Líneas de transmisión nacional</t>
  </si>
  <si>
    <t>17.12.1. %𝐴𝑆𝐴𝑃𝐶 𝑆𝑒𝑐𝑡𝑜𝑟 𝑒𝑛𝑒𝑟𝑔í𝑎 𝑒𝑙é𝑐𝑡𝑟𝑖𝑐𝑎</t>
  </si>
  <si>
    <t>Interpretación de resultados para la superposición del sector minero energéticos con áreas de distribución de especies importantes para la conservación</t>
  </si>
  <si>
    <t>16.7.1. Superposición con determinantes ambientales para el año Hectáreas  lineas de transmisión</t>
  </si>
  <si>
    <t>18. Variación de la generación de residuos peligrosos (RESPEL) por unidad producida</t>
  </si>
  <si>
    <t>18.1.1. 0610 extracción de petróleo crudo</t>
  </si>
  <si>
    <t>18.1.2. 0910 actividades de apoyo para la extracción de petróleo y de gas natural</t>
  </si>
  <si>
    <t>18.1.3. fabricación de productos de la refinación del petróleo</t>
  </si>
  <si>
    <t>18.1.4. 0620 extracción de gas natural</t>
  </si>
  <si>
    <t>18.1.5. 4930 transporte por tuberías</t>
  </si>
  <si>
    <t>18.1.6. 3520 producción de gas, distribución de combustibles gaseosos por tuberías</t>
  </si>
  <si>
    <t>18.1.7. Total Actividad Económica CIIU Rev.4.0 A.C.</t>
  </si>
  <si>
    <t xml:space="preserve">18.2.1. Generación en Ton Respel de residuos peligrosos de hidrocarburos 2022 </t>
  </si>
  <si>
    <t>18.2.2. Generación en Ton Respel de residuos peligrosos de hidrocarburos 2023</t>
  </si>
  <si>
    <t xml:space="preserve">18.2.3. Generación en Ton Respel de residuos peligrosos de energia 2022 </t>
  </si>
  <si>
    <t>18.2.4. Generación en Ton Respel de residuos peligrosos de energia 2023</t>
  </si>
  <si>
    <t xml:space="preserve">18.2.5. Generación en Ton Respel de residuos peligrosos de mineria 2022 </t>
  </si>
  <si>
    <t>18.2.6. Generación en Ton Respel de residuos peligrosos de mineria 2023</t>
  </si>
  <si>
    <t>18.3.1. Producción gas año 2022 Millones de pies cúbicos por día calendario - MPCPDC</t>
  </si>
  <si>
    <t>18.3.2. Producción gas año 2022 En millones de pies cúbicos</t>
  </si>
  <si>
    <t>18.3.3. Producción gas año 2022 Pies cúbicos</t>
  </si>
  <si>
    <t>18.3.4. Producción gas año 2022 BEP</t>
  </si>
  <si>
    <t>18.4.1. Producción total hidrocarburos barril 2022 gas</t>
  </si>
  <si>
    <t>18.4.5. Total año 2022 producción gas y petroleo (Barriles)</t>
  </si>
  <si>
    <t>18.4.2. Producción total hidrocarburos barril 2023 gas</t>
  </si>
  <si>
    <t>18.4.3. Producción total hidrocarburos barril 2022 petroleo</t>
  </si>
  <si>
    <t>18.4.4. Producción total hidrocarburos barril 2023 petroleo</t>
  </si>
  <si>
    <t>18.4.6. Total año 2023 producción gas y petroleo (Barriles)</t>
  </si>
  <si>
    <t>18.5.1.  Producción total de minería por años (toneladas) 2022</t>
  </si>
  <si>
    <t>18.5.2.  Producción total de minería por años (toneladas) 2023</t>
  </si>
  <si>
    <t xml:space="preserve">18.6.1. Generación total de energía eléctrica (GWh) 2022 </t>
  </si>
  <si>
    <t>18.6.2 Generación total de energía eléctrica (GWh) 2023</t>
  </si>
  <si>
    <t>18.7.1. 𝑉𝑎𝑟𝑅𝑒𝑠𝑝𝑒𝑙 Hidrocarburos</t>
  </si>
  <si>
    <t>18.7.1. 𝑉𝑎𝑟𝑅𝑒𝑠𝑝𝑒𝑙 Mineria</t>
  </si>
  <si>
    <t>18.7.1. 𝑉𝑎𝑟𝑅𝑒𝑠𝑝𝑒𝑙 Energia</t>
  </si>
  <si>
    <t>Interpretación resultados indicador de variación de la generación de residuos peligrosos (Respel) por unidad producida</t>
  </si>
  <si>
    <t>Variación de la generación de residuos peligrosos (RESPEL) por unidad producida</t>
  </si>
  <si>
    <t>1.1.1. Número de derechos ambientales reconocidos en la política de derechos humanos del sector Minero Energético.</t>
  </si>
  <si>
    <t xml:space="preserve">1.2.3. Puntuación plan de acción e implementación Política de derechos humanos </t>
  </si>
  <si>
    <t>Interpretación resultados indicador licenciamiento ambiental</t>
  </si>
  <si>
    <t>Área de superposición de cada subsector minero energetico con areas prioritarias de conservación</t>
  </si>
  <si>
    <t xml:space="preserve">20. Procesos sancionatorios ambientales </t>
  </si>
  <si>
    <t xml:space="preserve">20.1.1. Procesos sancionatorios ambientales hidrocarburos </t>
  </si>
  <si>
    <t>20.1.2. Procesos sancionatorios ambientales mineria</t>
  </si>
  <si>
    <t>20.1.3. Procesos sancionatorios ambientales energia</t>
  </si>
  <si>
    <t>20.2.1. cantidad de proyectos, obras o actividades vigentes del sector hidrocarburos</t>
  </si>
  <si>
    <t>20.2.2. cantidad de proyectos, obras o actividades vigentes del sector mineria</t>
  </si>
  <si>
    <t>20.2.3. cantidad de proyectos, obras o actividades vigentes del sector energia</t>
  </si>
  <si>
    <t>Interpretación resultados indicador procesos sancionatorios ambientales</t>
  </si>
  <si>
    <t xml:space="preserve">Procesos sancionatorios ambientales </t>
  </si>
  <si>
    <t>Cambio climático y gestión del riesgo</t>
  </si>
  <si>
    <t xml:space="preserve">21. Variación de emisiones de gases de efecto invernadero (GEI) del sector </t>
  </si>
  <si>
    <t>21.1.1 Actividades de quema de combustibles (enfoque sectorial) 2021</t>
  </si>
  <si>
    <t>21.1.2 Actividades de quema de combustibles (enfoque sectorial) 2020</t>
  </si>
  <si>
    <t>21.1.3. Variación emisiones netas 2021 -2020 Actividades de quema de combustibles (enfoque sectorial)</t>
  </si>
  <si>
    <t>21.2.1.  Industrias de la energía 2021</t>
  </si>
  <si>
    <t>21.2.2.  Industrias de la energía 202</t>
  </si>
  <si>
    <t>21.2.3.   Variación emisiones netas 2021 -2020  Industrias de la energía</t>
  </si>
  <si>
    <t xml:space="preserve">21.3.1. Refinación del petróleo 2021 </t>
  </si>
  <si>
    <t>21.3.2. Refinación del petróleo 2020</t>
  </si>
  <si>
    <t xml:space="preserve">21.3.3. Variación emisiones netas 2021 -2020   Refinación del petróleo </t>
  </si>
  <si>
    <t>21.4.1. Fabricación de combustibles sólidos y otras energías 2021</t>
  </si>
  <si>
    <t>21.4.2. Fabricación de combustibles sólidos y otras energías 2020</t>
  </si>
  <si>
    <t>21.4.3.  Variación emisiones netas 2021 -2020  Fabricación de combustibles sólidos y otras energías</t>
  </si>
  <si>
    <t>21.5.1. Metales no ferrosos 2021</t>
  </si>
  <si>
    <t>21.5.2. Metales no ferrosos 2020</t>
  </si>
  <si>
    <t>21.5.3. Variación emisiones netas 2021 -2020  Metales no ferrosos</t>
  </si>
  <si>
    <t>21.6.1. Otro transporte 2021</t>
  </si>
  <si>
    <t xml:space="preserve">21.6.2. Otro transporte 2020 </t>
  </si>
  <si>
    <t>21.6.3. Variación emisiones netas 2021 -2020    Otro transporte</t>
  </si>
  <si>
    <t xml:space="preserve">21.7.1. Minería carbonífera y manejo del carbón 2021 </t>
  </si>
  <si>
    <t>21.7.2.Minería carbonífera y manejo del carbón 2020</t>
  </si>
  <si>
    <t>21.7.3.  Variación emisiones netas 2021 -2020  Minería carbonífera y manejo del carbón</t>
  </si>
  <si>
    <t>21.8.1. Etileno 2021</t>
  </si>
  <si>
    <t>21.8.2. Etileno 2020</t>
  </si>
  <si>
    <t xml:space="preserve">21.8.3. Variación emisiones netas 2021 -2020 Etileno </t>
  </si>
  <si>
    <t>21.10.1 Producción de ferroaleaciones 2021</t>
  </si>
  <si>
    <t>21.10.2. Producción de ferroaleaciones 2020</t>
  </si>
  <si>
    <t>21.10.3. Variación emisiones netas 2021 -2020  Producción de ferroaleaciones</t>
  </si>
  <si>
    <t>21.11.2. Humedales que permanecen como tales 2020</t>
  </si>
  <si>
    <t>21.11.1. Humedales que permanecen como tales 2021</t>
  </si>
  <si>
    <t>21.11.3. Variación emisiones netas 2021 -2020  Humedales que permanecen como tales</t>
  </si>
  <si>
    <t>21.12.1 total Emisiones netas 2021</t>
  </si>
  <si>
    <t>21.12.2. Emisiones netas 2020</t>
  </si>
  <si>
    <t>21.12.3.Variacion total Emisiones netas 2021-2020</t>
  </si>
  <si>
    <t>21.13.1. Minerí­a Extracción de carbón 2010</t>
  </si>
  <si>
    <t>21.13.2. Minerí­a Extracción de otros minerales 2010</t>
  </si>
  <si>
    <t>21.13.3. Petróleo y gas Downstream 2010</t>
  </si>
  <si>
    <t>21.13.4. Petróleo y gas Midstream 2010</t>
  </si>
  <si>
    <t>21.13.5. Petróleo y gas Upstream 2010</t>
  </si>
  <si>
    <t>21.13.6. Sistema Interconectado Nacional Embalses 2010</t>
  </si>
  <si>
    <t>21.13.7. Sistema Interconectado Nacional Combustión 2010</t>
  </si>
  <si>
    <t>21.13.8. Zonas No Interconectadas 2010</t>
  </si>
  <si>
    <t>21.13.9. Total 2010</t>
  </si>
  <si>
    <t>21.13.10. Minerí­a Extracción de carbón 2011</t>
  </si>
  <si>
    <t>21.13.11. Minerí­a Extracción de otros minerales 2011</t>
  </si>
  <si>
    <t>21.13.12. Petróleo y gas Downstream 2011</t>
  </si>
  <si>
    <t>21.13.13. Petróleo y gas Midstream 2011</t>
  </si>
  <si>
    <t>21.13.14. Petróleo y gas Upstream 2011</t>
  </si>
  <si>
    <t>21.13.15. Sistema Interconectado Nacional Embalses 2011</t>
  </si>
  <si>
    <t>21.13.16. Sistema Interconectado Nacional Combustión 2011</t>
  </si>
  <si>
    <t>21.13.17. Zonas No Interconectadas 2011</t>
  </si>
  <si>
    <t>21.13.18. Total 2011</t>
  </si>
  <si>
    <t>21.13.19. Minerí­a Extracción de carbón 2012</t>
  </si>
  <si>
    <t>21.13.20. Minerí­a Extracción de otros minerales 2012</t>
  </si>
  <si>
    <t>21.13.21. Petróleo y gas Downstream 2012</t>
  </si>
  <si>
    <t>21.13.22. Petróleo y gas Midstream 2012</t>
  </si>
  <si>
    <t>21.13.23. Petróleo y gas Upstream 2012</t>
  </si>
  <si>
    <t>21.13.24. Sistema Interconectado Nacional Embalses 2012</t>
  </si>
  <si>
    <t>21.13.25. Sistema Interconectado Nacional Combustión 2012</t>
  </si>
  <si>
    <t>21.13.26. Zonas No Interconectadas 2012</t>
  </si>
  <si>
    <t>21.13.27. Total 2012</t>
  </si>
  <si>
    <t>21.13.28. Minerí­a Extracción de carbón 2013</t>
  </si>
  <si>
    <t>21.13.29. Minerí­a Extracción de otros minerales 2013</t>
  </si>
  <si>
    <t>21.13.30. Petróleo y gas Downstream 2013</t>
  </si>
  <si>
    <t>21.13.31. Petróleo y gas Midstream 2013</t>
  </si>
  <si>
    <t>21.13.32. Petróleo y gas Upstream 2013</t>
  </si>
  <si>
    <t>21.13.33. Sistema Interconectado Nacional Embalses 2013</t>
  </si>
  <si>
    <t>21.13.34. Sistema Interconectado Nacional Combustión 2013</t>
  </si>
  <si>
    <t>21.13.35. Zonas No Interconectadas 2013</t>
  </si>
  <si>
    <t>21.13.36. Total 2013</t>
  </si>
  <si>
    <t>21.13.37. Minerí­a Extracción de carbón 2014</t>
  </si>
  <si>
    <t>21.13.38. Minerí­a Extracción de otros minerales 2014</t>
  </si>
  <si>
    <t>21.13.39. Petróleo y gas Downstream 2014</t>
  </si>
  <si>
    <t>21.13.40. Petróleo y gas Midstream 2014</t>
  </si>
  <si>
    <t>21.13.41. Petróleo y gas Upstream 2014</t>
  </si>
  <si>
    <t>21.13.42. Sistema Interconectado Nacional Embalses 2014</t>
  </si>
  <si>
    <t>21.13.43. Sistema Interconectado Nacional Combustión 2014</t>
  </si>
  <si>
    <t>21.13.44. Zonas No Interconectadas 2014</t>
  </si>
  <si>
    <t>21.13.45. Total 2014</t>
  </si>
  <si>
    <t>21.13.46. Minerí­a Extracción de carbón 2015</t>
  </si>
  <si>
    <t>21.13.47. Minerí­a Extracción de otros minerales 2015</t>
  </si>
  <si>
    <t>21.13.48. Petróleo y gas Downstream 2015</t>
  </si>
  <si>
    <t>21.13.49. Petróleo y gas Midstream 2015</t>
  </si>
  <si>
    <t>21.13.50. Petróleo y gas Upstream 2015</t>
  </si>
  <si>
    <t>21.13.51. Sistema Interconectado Nacional Embalses 2015</t>
  </si>
  <si>
    <t>21.13.52. Sistema Interconectado Nacional Combustión 2015</t>
  </si>
  <si>
    <t>21.13.53. Zonas No Interconectadas 2015</t>
  </si>
  <si>
    <t>21.13.54. Total 2015</t>
  </si>
  <si>
    <t>21.13.55. Minerí­a Extracción de carbón 2016</t>
  </si>
  <si>
    <t>21.13.56. Minerí­a Extracción de otros minerales 2016</t>
  </si>
  <si>
    <t>21.13.57. Petróleo y gas Downstream 2016</t>
  </si>
  <si>
    <t>21.13.58. Petróleo y gas Midstream 2016</t>
  </si>
  <si>
    <t>21.13.59. Petróleo y gas Upstream 2016</t>
  </si>
  <si>
    <t>21.13.60. Sistema Interconectado Nacional Embalses 2016</t>
  </si>
  <si>
    <t>21.13.61. Sistema Interconectado Nacional Combustión 2016</t>
  </si>
  <si>
    <t>21.13.62. Zonas No Interconectadas 2016</t>
  </si>
  <si>
    <t>21.13.63. Total 2016</t>
  </si>
  <si>
    <t>21.13.64. Minerí­a Extracción de carbón 2017</t>
  </si>
  <si>
    <t>21.13.65. Minerí­a Extracción de otros minerales 2017</t>
  </si>
  <si>
    <t>21.13.66. Petróleo y gas Downstream 2017</t>
  </si>
  <si>
    <t>21.13.67. Petróleo y gas Midstream 2017</t>
  </si>
  <si>
    <t>21.13.68. Petróleo y gas Upstream 2017</t>
  </si>
  <si>
    <t>21.13.69. Sistema Interconectado Nacional Embalses 2017</t>
  </si>
  <si>
    <t>21.13.70. Sistema Interconectado Nacional Combustión 2017</t>
  </si>
  <si>
    <t>21.13.71. Zonas No Interconectadas 2017</t>
  </si>
  <si>
    <t>21.13.72. Total 2017</t>
  </si>
  <si>
    <t>21.13.73. Minerí­a Extracción de carbón 2018</t>
  </si>
  <si>
    <t>21.13.74. Minerí­a Extracción de otros minerales 2018</t>
  </si>
  <si>
    <t>21.13.75. Petróleo y gas Downstream 2018</t>
  </si>
  <si>
    <t>21.13.76. Petróleo y gas Midstream 2018</t>
  </si>
  <si>
    <t>21.13.77. Petróleo y gas Upstream 2018</t>
  </si>
  <si>
    <t>21.13.78. Sistema Interconectado Nacional Embalses 2018</t>
  </si>
  <si>
    <t>21.13.79. Sistema Interconectado Nacional Combustión 2018</t>
  </si>
  <si>
    <t>21.13.80. Zonas No Interconectadas 2018</t>
  </si>
  <si>
    <t>21.13.81. Total 2018</t>
  </si>
  <si>
    <t>21.13.82. Minerí­a Extracción de carbón 2019</t>
  </si>
  <si>
    <t>21.13.83. Minerí­a Extracción de otros minerales 2019</t>
  </si>
  <si>
    <t>21.13.84. Petróleo y gas Downstream 2019</t>
  </si>
  <si>
    <t>21.13.85. Petróleo y gas Midstream 2019</t>
  </si>
  <si>
    <t>21.13.86. Petróleo y gas Upstream 2019</t>
  </si>
  <si>
    <t>21.13.87. Sistema Interconectado Nacional Embalses 2019</t>
  </si>
  <si>
    <t>21.13.88. Sistema Interconectado Nacional Combustión 2019</t>
  </si>
  <si>
    <t>21.13.89. Zonas No Interconectadas 2019</t>
  </si>
  <si>
    <t>21.13.90. Total 2019</t>
  </si>
  <si>
    <t>21.13.91. Minerí­a Extracción de carbón 2020</t>
  </si>
  <si>
    <t>21.13.92. Minerí­a Extracción de otros minerales 2020</t>
  </si>
  <si>
    <t>21.13.93. Petróleo y gas Downstream 2020</t>
  </si>
  <si>
    <t>21.13.94. Petróleo y gas Midstream 2020</t>
  </si>
  <si>
    <t>21.13.95. Petróleo y gas Upstream 2020</t>
  </si>
  <si>
    <t>21.13.96. Sistema Interconectado Nacional Embalses 2020</t>
  </si>
  <si>
    <t>21.13.97. Sistema Interconectado Nacional Combustión 2020</t>
  </si>
  <si>
    <t>21.13.98. Zonas No Interconectadas 2020</t>
  </si>
  <si>
    <t>21.13.99. Total 2020</t>
  </si>
  <si>
    <t>21.13.100. Minerí­a Extracción de carbón 2021</t>
  </si>
  <si>
    <t>21.13.101. Minerí­a Extracción de otros minerales 2021</t>
  </si>
  <si>
    <t>21.13.102. Petróleo y gas Downstream 2021</t>
  </si>
  <si>
    <t>21.13.103. Petróleo y gas Midstream 2021</t>
  </si>
  <si>
    <t>21.13.104. Petróleo y gas Upstream 2021</t>
  </si>
  <si>
    <t>21.13.105. Sistema Interconectado Nacional Embalses 2021</t>
  </si>
  <si>
    <t>21.13.106. Sistema Interconectado Nacional Combustión 2021</t>
  </si>
  <si>
    <t>21.13.107. Zonas No Interconectadas 2021</t>
  </si>
  <si>
    <t>21.13.108. Total 2021</t>
  </si>
  <si>
    <t>21.13.109. Minerí­a Extracción de carbón 2022</t>
  </si>
  <si>
    <t>21.13.110. Minerí­a Extracción de otros minerales 2022</t>
  </si>
  <si>
    <t>21.13.111. Petróleo y gas Downstream 2022</t>
  </si>
  <si>
    <t>21.13.112. Petróleo y gas Midstream 2022</t>
  </si>
  <si>
    <t>21.13.113. Petróleo y gas Upstream 2022</t>
  </si>
  <si>
    <t>21.13.114. Sistema Interconectado Nacional Embalses 2022</t>
  </si>
  <si>
    <t>21.13.115. Sistema Interconectado Nacional Combustión 2022</t>
  </si>
  <si>
    <t>21.13.116. Zonas No Interconectadas 2022</t>
  </si>
  <si>
    <t>21.13.117. Total 2022</t>
  </si>
  <si>
    <t>21.13.118 Variación 2010-2011</t>
  </si>
  <si>
    <t>21.13.119 Variación 2011-2012</t>
  </si>
  <si>
    <t>21.13.200 Variación 2012-2013</t>
  </si>
  <si>
    <t>21.13.201 Variación 2013-2014</t>
  </si>
  <si>
    <t>21.13.202 Variación 2014-2015</t>
  </si>
  <si>
    <t>21.13.203 Variación 2015-2016</t>
  </si>
  <si>
    <t>21.13.204 Variación 2016-2017</t>
  </si>
  <si>
    <t>21.13.205 Variación 2017-2018</t>
  </si>
  <si>
    <t>21.13.206 Variación 2018-2019</t>
  </si>
  <si>
    <t>21.13.207 Variación 2019-2020</t>
  </si>
  <si>
    <t>21.13.208 Variación 2020-2021</t>
  </si>
  <si>
    <t>21.13.209 Variación 2021-2022</t>
  </si>
  <si>
    <t xml:space="preserve">21.14.2. sumatoria 2021 mineria </t>
  </si>
  <si>
    <t>21.14.3. sumatoria 2022 mineria</t>
  </si>
  <si>
    <t>21.14.1. variacion  Global</t>
  </si>
  <si>
    <t>21.14.4. sumatoria 2021 hidrocarburos</t>
  </si>
  <si>
    <t>21.14.5. sumatoria 2022 hidrocarburos</t>
  </si>
  <si>
    <t>21.14.6. sumatoria 2021 energia</t>
  </si>
  <si>
    <t xml:space="preserve">21.14.7. sumatoria 2022 energia </t>
  </si>
  <si>
    <t>21.15.1 variación mineria 2021-2022</t>
  </si>
  <si>
    <t>21.15.2 variación hidrocarburos  2021-2022</t>
  </si>
  <si>
    <t>21.15.1 variación energia  2021-2022</t>
  </si>
  <si>
    <t>Interpretación del indicador de variación de emisiones de GEI</t>
  </si>
  <si>
    <t xml:space="preserve">Variación de emisiones de gases de efecto invernadero (GEI) del sector </t>
  </si>
  <si>
    <t>22.Tasa de variación del financiamiento climático</t>
  </si>
  <si>
    <t>22.1.1. Internacional mitigación  2023</t>
  </si>
  <si>
    <t>22.1.2. Eficiencia energética mitigación  2023</t>
  </si>
  <si>
    <t>22.1.3. Público-Domestico adaptación 2023</t>
  </si>
  <si>
    <t>22.1.4. Público-Domestico ambos 2023</t>
  </si>
  <si>
    <t>22.1.5. Público-Domestico mitigación 2023</t>
  </si>
  <si>
    <t>21.1.6. Eficiencia energetica ambas  2023</t>
  </si>
  <si>
    <t>21.1.7. Eficiencia energetica mitigación 2023</t>
  </si>
  <si>
    <t>22.1.8. Generación, mejora y acceso de electricidad  adaptación 2023</t>
  </si>
  <si>
    <t>22.1.9. Generación, mejora y acceso de electricidad  mitigación 2023</t>
  </si>
  <si>
    <t>22.1.10. Producción minera 2023</t>
  </si>
  <si>
    <t>22.1.11.Total general adaptación 2023</t>
  </si>
  <si>
    <t>22.1.12. Total general ambos  2023</t>
  </si>
  <si>
    <t>22.1.13. Total general mitigación 2023</t>
  </si>
  <si>
    <t>22.1.14.Total internacional  2023</t>
  </si>
  <si>
    <t>22.1.15. Total eficiencia  energetica 2023</t>
  </si>
  <si>
    <t>22.1.16. Total público-Domestico 2023</t>
  </si>
  <si>
    <t>22.1.17. Total eficiencia energetica 2023</t>
  </si>
  <si>
    <t>22.1.18. Total Genersción, mejora y acceso de electricidad  2023</t>
  </si>
  <si>
    <t>22.1.19. Producción minera  2023</t>
  </si>
  <si>
    <t>22.1.20. Total general  2023</t>
  </si>
  <si>
    <t>22.2.1. Financiero mitigación 2022</t>
  </si>
  <si>
    <t>22.2.2. Generación, mejora y acceso de electricidad mitigación 2022</t>
  </si>
  <si>
    <t>22.2.3. Internacional mitigación  2022</t>
  </si>
  <si>
    <t xml:space="preserve">22.2.4. Generación, mejora y acceso de electricidad mitigación  2022 </t>
  </si>
  <si>
    <t>22.2.5. Política, leyes e investigación para la transición energética 2022</t>
  </si>
  <si>
    <t>22.2.6. Publica-domestico adaptación 2022</t>
  </si>
  <si>
    <t>22.2.7. Publico-domestico ambas 2022</t>
  </si>
  <si>
    <t>22.2.8. Publico-domestico mitigación 2022</t>
  </si>
  <si>
    <t>22.2.9. Eficiencia energetica mitigación 2022</t>
  </si>
  <si>
    <t>22.2.11. Producción de hidrocarburos 2022</t>
  </si>
  <si>
    <t>22.2.12. Producción minera ambas 2022</t>
  </si>
  <si>
    <t>22.2.13. Producción minera mitigación 2023</t>
  </si>
  <si>
    <t>22.2.10. generación, mejora y acceso de electricidad mitigación   2023</t>
  </si>
  <si>
    <t>22.2.10. generación, mejora y acceso de electricidad adaptación  2022</t>
  </si>
  <si>
    <t>22.2.14. Total general adaptación 2022</t>
  </si>
  <si>
    <t>22.2.14. Total general ambos 2022</t>
  </si>
  <si>
    <t>22.2.14. Total general mitigación 2022</t>
  </si>
  <si>
    <t>22.2.15. Total general  financiero 2022</t>
  </si>
  <si>
    <t>22.3.1 Financiamiento 2011</t>
  </si>
  <si>
    <t>22.3.2 Financiamiento 2012</t>
  </si>
  <si>
    <t>22.3.3 Financiamiento 2013</t>
  </si>
  <si>
    <t>22.3.4Financiamiento 2014</t>
  </si>
  <si>
    <t>22.3.5 Financiamiento 2015</t>
  </si>
  <si>
    <t>22.3.6 Financiamiento 2016</t>
  </si>
  <si>
    <t>22.3.7 Financiamiento 2017</t>
  </si>
  <si>
    <t>22.3.8Financiamiento 2018</t>
  </si>
  <si>
    <t>22.3.9 Financiamiento 2019</t>
  </si>
  <si>
    <t>22.3.10 Financiamiento 2020</t>
  </si>
  <si>
    <t>22.3.11 Financiamiento 2021</t>
  </si>
  <si>
    <t>22.3.12 Financiamiento 2022</t>
  </si>
  <si>
    <t>22.3.13.Financiamiento 2023</t>
  </si>
  <si>
    <t>22.2.16. Generación, mejora y acceso de electricidad 2022</t>
  </si>
  <si>
    <t>22.2.17. Internacional 2022</t>
  </si>
  <si>
    <t xml:space="preserve">22.2.18. generación, mejora y acceso de electricidad 2022 </t>
  </si>
  <si>
    <t>22.2.19.Politica, leyes e investigacion para la transición energetica  2022</t>
  </si>
  <si>
    <t>22.2.20. Publico - Domestico  2022</t>
  </si>
  <si>
    <t>22..2.21. Eficiencia energetica  2022</t>
  </si>
  <si>
    <t xml:space="preserve">22.2.22.  generación, mejora y acceso de electricidad 2022 </t>
  </si>
  <si>
    <t>22.2.23 Producción hidrocarburos 2022</t>
  </si>
  <si>
    <t xml:space="preserve">22.2.24. Producción minera </t>
  </si>
  <si>
    <t>2.2.25. Total general 2022</t>
  </si>
  <si>
    <t>Interpretación del indicador de variación del financiamiento climático</t>
  </si>
  <si>
    <t>24. Indice de derrames de hidrocarburos (IDH)</t>
  </si>
  <si>
    <t>ACPM y otros aceites</t>
  </si>
  <si>
    <t>Carrotanque</t>
  </si>
  <si>
    <t>Desconocido</t>
  </si>
  <si>
    <t>Inst. Fija</t>
  </si>
  <si>
    <t>Planta</t>
  </si>
  <si>
    <t>Tubería</t>
  </si>
  <si>
    <t>Crudo</t>
  </si>
  <si>
    <t>Gas</t>
  </si>
  <si>
    <t xml:space="preserve">Gasolina </t>
  </si>
  <si>
    <t>Otros</t>
  </si>
  <si>
    <t>10-100</t>
  </si>
  <si>
    <t>100-1000</t>
  </si>
  <si>
    <t>24.1.0-10</t>
  </si>
  <si>
    <t>24.1.1.ACPM y otros aceites</t>
  </si>
  <si>
    <t>24.1.1.1.Carrotanque</t>
  </si>
  <si>
    <t>24.1.1.2.Desconocido</t>
  </si>
  <si>
    <t xml:space="preserve">Total ACPM y otros aceites </t>
  </si>
  <si>
    <t xml:space="preserve">Total crudo </t>
  </si>
  <si>
    <t xml:space="preserve">Total  Desconocido </t>
  </si>
  <si>
    <t>Total gas</t>
  </si>
  <si>
    <t>Total gasolina</t>
  </si>
  <si>
    <t>Total otros</t>
  </si>
  <si>
    <t xml:space="preserve">Numero total de eventos </t>
  </si>
  <si>
    <t>Total general 𝑉𝑜𝑙𝑢𝑚𝑒𝑛 𝑡𝑜𝑡𝑎𝑙 𝑑𝑒 𝐻𝑖𝑑𝑟𝑜𝑐𝑎𝑟𝑏𝑢𝑟𝑜𝑠 𝑑𝑒𝑟𝑟𝑎𝑚𝑎𝑑𝑜 (𝐵𝐵𝐿)</t>
  </si>
  <si>
    <t>Aproximación a la unidad</t>
  </si>
  <si>
    <t>Tasa de variación del financiamiento climático</t>
  </si>
  <si>
    <t>Indice de derrames de hidrocarburos (IDH)</t>
  </si>
  <si>
    <t>Interpretación del indicador de accidentalidad sector hidrocarburos</t>
  </si>
  <si>
    <t>25.1. gravedad catastrófico sumatoria número de heridos</t>
  </si>
  <si>
    <t>25.2. gravedad catastrófico sumatoria número de fallecidos</t>
  </si>
  <si>
    <t>25.1.1. catastrófico accidente minero por explosión número de heridos</t>
  </si>
  <si>
    <t>25.2.1. catastrófico accidente minero por explosión número de fallecidos</t>
  </si>
  <si>
    <t>25. Índice de gravedad de accidentes mineros (IGAM)</t>
  </si>
  <si>
    <t>25.3. gravedad grave sumatoria número de heridos</t>
  </si>
  <si>
    <t>25.4. gravedad grave sumatoria número de fallecidos</t>
  </si>
  <si>
    <t>25.3.1. grave accidente minero por atmósfera contaminada o irrespirable número de heridos</t>
  </si>
  <si>
    <t>25.4.1. grave accidente minero por atmósfera contaminada o irrespirable número de fallecidos</t>
  </si>
  <si>
    <t>25.3.2. grave accidente minero por derrumbe número de heridos</t>
  </si>
  <si>
    <t>25.4.2. grave accidente minero por derrumbe número de fallecidos</t>
  </si>
  <si>
    <t>25.5. gravedad mortal sumatoria número de heridos</t>
  </si>
  <si>
    <t>25.6. gravedad mortal sumatoria número de fallecidos</t>
  </si>
  <si>
    <t>25.5.1. mortal accidente minero eléctrico número de heridos</t>
  </si>
  <si>
    <t>25.6.1. mortal accidente minero eléctrico número de fallecidos</t>
  </si>
  <si>
    <t>25.5.2. mortal accidente minero mecánico número de heridos</t>
  </si>
  <si>
    <t>25.6.2. mortal accidente minero mecánico número de fallecidos</t>
  </si>
  <si>
    <t>25.5.3. mortal accidente minero por atmósfera contaminada o irrespirable número de heridos</t>
  </si>
  <si>
    <t>25.6.3. mortal accidente minero por atmósfera contaminada o irrespirable número de fallecidos</t>
  </si>
  <si>
    <t>25.5.4. mortal accidente minero por caída a diferente nivel número de heridos</t>
  </si>
  <si>
    <t>25.6.4. mortal accidente minero por caída a diferente nivel número de fallecidos</t>
  </si>
  <si>
    <t>25.5.5. mortal accidente minero por derrumbe número de heridos</t>
  </si>
  <si>
    <t>25.6.5. mortal accidente minero por derrumbe número de fallecidos</t>
  </si>
  <si>
    <t>25.5.6. mortal accidente minero por explosión número de heridos</t>
  </si>
  <si>
    <t>25.6.6. mortal accidente minero por explosión número de fallecidos</t>
  </si>
  <si>
    <t>25.5.7. mortal accidente minero por falla geomecánica número de heridos</t>
  </si>
  <si>
    <t>25.6.7. mortal accidente minero por falla geomecánica número de fallecidos</t>
  </si>
  <si>
    <t>25.5.8. mortal accidente minero por inundación número de heridos</t>
  </si>
  <si>
    <t>25.6.8. mortal accidente minero por inundación número de fallecidos</t>
  </si>
  <si>
    <t>25.5.9. mortal accidente minero por otra causa número de heridos</t>
  </si>
  <si>
    <t>25.6.9. mortal accidente minero por otra causa número de fallecidos</t>
  </si>
  <si>
    <t>25.5.10. mortal accidente minero por determinar número de heridos</t>
  </si>
  <si>
    <t>25.6.10. mortal accidente minero por determinar número de fallecidos</t>
  </si>
  <si>
    <t>25.7. gravedad sin afectados sumatoria número de heridos</t>
  </si>
  <si>
    <t>25.8. gravedad sin afectados sumatoria número de fallecidos</t>
  </si>
  <si>
    <t>25.7.1. sin afectados accidente minero por atmósfera contaminada o irrespirable número de heridos</t>
  </si>
  <si>
    <t>25.8.1. sin afectados accidente minero por atmósfera contaminada o irrespirable número de fallecidos</t>
  </si>
  <si>
    <t>25.7.2. sin afectados accidente minero por derrumbe número de heridos</t>
  </si>
  <si>
    <t>25.8.2. sin afectados accidente minero por derrumbe número de fallecidos</t>
  </si>
  <si>
    <t>25.7.3. sin afectados accidente minero por explosión número de heridos</t>
  </si>
  <si>
    <t>25.8.3. sin afectados accidente minero por explosión número de fallecidos</t>
  </si>
  <si>
    <t>25.7.4. sin afectados accidente minero por falla geomecánica número de heridos</t>
  </si>
  <si>
    <t>25.8.4. sin afectados accidente minero por falla geomecánica número de fallecidos</t>
  </si>
  <si>
    <t>25.7.5. sin afectados accidente minero por incendio número de heridos</t>
  </si>
  <si>
    <t>25.8.5. sin afectados accidente minero por incendio número de fallecidos</t>
  </si>
  <si>
    <t>25.7.6. sin afectados accidente minero por inundación número de heridos</t>
  </si>
  <si>
    <t>25.8.6. sin afectados accidente minero por inundación número de fallecidos</t>
  </si>
  <si>
    <t>25.9. 𝑁𝑢𝑚𝑒𝑟𝑜 𝑡𝑜𝑡𝑎𝑙 𝑑𝑒 𝑖𝑛𝑐𝑖𝑑𝑒𝑛𝑡𝑒𝑠 𝑣𝑒𝑟𝑖𝑓𝑖𝑐𝑎𝑑𝑜𝑠</t>
  </si>
  <si>
    <t>25.10 sum heridos</t>
  </si>
  <si>
    <t xml:space="preserve">25.11. sum fallecidos </t>
  </si>
  <si>
    <t>Índice de gravedad de accidentes mineros (IGAM)</t>
  </si>
  <si>
    <t>Interpretación del indicador de accidentalidad minera</t>
  </si>
  <si>
    <t>26. índice de severidad de accidentes eléctricos (ISAE)</t>
  </si>
  <si>
    <t>26.1. lesión tetanización energía sum accidentes</t>
  </si>
  <si>
    <t>26.2. lesión fibrilación energía sum accidentes</t>
  </si>
  <si>
    <t>26.3. lesión quemaduras energía sum accidentes</t>
  </si>
  <si>
    <t>26.4. lesión traumatismos energía sum accidentes</t>
  </si>
  <si>
    <t>26.5. lesión derivadas energía sum accidentes</t>
  </si>
  <si>
    <t>26.6. lesión muerte energía sum accidentes</t>
  </si>
  <si>
    <t>26.7. lesión otra energía sum accidentes</t>
  </si>
  <si>
    <t>26.8. lesión desconocida energía sum accidentes</t>
  </si>
  <si>
    <t xml:space="preserve">26.9. Sumatoria heridos </t>
  </si>
  <si>
    <t xml:space="preserve">26.10 sumatoria muerte </t>
  </si>
  <si>
    <t>26.11. 𝑁𝑢𝑚𝑒𝑟𝑜 𝑡𝑜𝑡𝑎𝑙 𝑑𝑒 𝑖𝑛𝑐𝑖𝑑𝑒𝑛𝑡𝑒𝑠 𝑣𝑒𝑟𝑖𝑓𝑖𝑐𝑎𝑑𝑜𝑠</t>
  </si>
  <si>
    <t>índice de severidad de accidentes eléctricos (ISAE)</t>
  </si>
  <si>
    <t>Interpretación de indicador de accidentalidad sector energético</t>
  </si>
  <si>
    <t>27. Variación de la intensidad energética por subsector</t>
  </si>
  <si>
    <t>27.1. subsector eléctrico consumo propio primarios autocosumo 2022 (TJ)</t>
  </si>
  <si>
    <t>27.2. subsector eléctrico consumo propio primarios autocosumo 2023 (TJ)</t>
  </si>
  <si>
    <t>27.3. subsector eléctrico consumo propio secundarios autocosumo 2022 (TJ)</t>
  </si>
  <si>
    <t>27.4. subsector eléctrico consumo propio secundarios autocosumo 2023 (TJ)</t>
  </si>
  <si>
    <t>27.5. subsector hidrocarburos consumo propio (extr-transf) primarios autocosumo 2022 (TJ)</t>
  </si>
  <si>
    <t>27.6. subsector hidrocarburos consumo propio (extr-transf) primarios autocosumo 2023 (TJ)</t>
  </si>
  <si>
    <t>27.7. subsector hidrocarburos consumo propio (extr-transf) secundarios autocosumo 2022 (TJ)</t>
  </si>
  <si>
    <t>27.8. subsector hidrocarburos consumo propio (extr-transf) secundarios autocosumo 2023 (TJ)</t>
  </si>
  <si>
    <t>27.9. subsector hidrocarburos consumo propio (en mercado) primarios autocosumo 2022 (TJ)</t>
  </si>
  <si>
    <t>27.10. subsector hidrocarburos consumo propio (en mercado) primarios autocosumo 2023 (TJ)</t>
  </si>
  <si>
    <t>27.11. subsector hidrocarburos consumo propio (en mercado) secundarios autocosumo 2022 (TJ)</t>
  </si>
  <si>
    <t>27.12. subsector hidrocarburos consumo propio (en mercado) secundarios autocosumo 2023 (TJ)</t>
  </si>
  <si>
    <t>27.13. subsector minería consumo final minero primarios autocosumo 2022 (TJ)</t>
  </si>
  <si>
    <t>27.14. subsector minería consumo final minero primarios autocosumo 2023 (TJ)</t>
  </si>
  <si>
    <t>27.15. subsector minería consumo final minero secundarios autocosumo 2022 (TJ)</t>
  </si>
  <si>
    <t>27.16. subsector minería consumo final minero secundarios autocosumo 2023 (TJ)</t>
  </si>
  <si>
    <t>27.17. energía auto consumida total (EA eléctrico) 2022</t>
  </si>
  <si>
    <t>27.18. energía auto consumida total (EA eléctrico) 2023</t>
  </si>
  <si>
    <t>27.19. energía auto consumida total (EA hidrocarburos) 2022</t>
  </si>
  <si>
    <t>27.20. energía auto consumida total (EA hidrocarburos) 2023</t>
  </si>
  <si>
    <t>27.21. energía auto consumida total (EA minería) 2022</t>
  </si>
  <si>
    <t>27.22. energía auto consumida total (EA minería) 2023</t>
  </si>
  <si>
    <t>27.23. total sector minero energético 2022</t>
  </si>
  <si>
    <t>27.24. total sector minero energético 2023</t>
  </si>
  <si>
    <t>27.25. PIB eléctrico 2022 (miles de millones de pesos)</t>
  </si>
  <si>
    <t>27.26. PIB eléctrico 2023 (miles de millones de pesos)</t>
  </si>
  <si>
    <t>27.27. PIB hidrocarburos 2022 (miles de millones de pesos)</t>
  </si>
  <si>
    <t>27.28. PIB hidrocarburos 2023 (miles de millones de pesos)</t>
  </si>
  <si>
    <t>27.29. PIB minería 2022 (miles de millones de pesos)</t>
  </si>
  <si>
    <t>27.30. PIB minería 2023 (miles de millones de pesos)</t>
  </si>
  <si>
    <t>27.31. total sector minero energético 2022 (miles de millones de pesos)</t>
  </si>
  <si>
    <t>27.32. total sector minero energético 2023 (miles de millones de pesos)</t>
  </si>
  <si>
    <t>27.33. IES 2022</t>
  </si>
  <si>
    <t>27.34. IES 2023</t>
  </si>
  <si>
    <t>Interpretación del indicador de variación de la intensidad energética por subsector.</t>
  </si>
  <si>
    <t>28. Variación de la intensidad energética nacional</t>
  </si>
  <si>
    <t>28.1. Autoconsumo · Primarios · Casilla C20 · Energía consumida 2022 (TJ)</t>
  </si>
  <si>
    <t>28.2. Autoconsumo · Primarios · Casilla C20 · Energía consumida 2023 (TJ)</t>
  </si>
  <si>
    <t>28.3. Autoconsumo · Secundarios · Casilla L20 · Energía consumida 2022 (TJ)</t>
  </si>
  <si>
    <t>28.4. Autoconsumo · Secundarios · Casilla L20 · Energía consumida 2023 (TJ)</t>
  </si>
  <si>
    <t>28.5. Consumo final · Primarios · Casilla C41 · Energía consumida 2022 (TJ)</t>
  </si>
  <si>
    <t>28.6. Consumo final · Primarios · Casilla C41 · Energía consumida 2023 (TJ)</t>
  </si>
  <si>
    <t>28.7. Consumo final · Secundarios · Casilla L41 · Energía consumida 2022 (TJ)</t>
  </si>
  <si>
    <t>28.8. Consumo final · Secundarios · Casilla L41 · Energía consumida 2023 (TJ)</t>
  </si>
  <si>
    <t>28.9. Pérdidas · Primarios · Casilla C16 · Energía consumida 2022 (TJ)</t>
  </si>
  <si>
    <t>28.10. Pérdidas · Primarios · Casilla C16 · Energía consumida 2023 (TJ)</t>
  </si>
  <si>
    <t>28.11. Pérdidas · Secundarios · Casilla L16 · Energía consumida 2022 (TJ)</t>
  </si>
  <si>
    <t>28.12. Pérdidas · Secundarios · Casilla L16 · Energía consumida 2023 (TJ)</t>
  </si>
  <si>
    <r>
      <t xml:space="preserve">28.13. </t>
    </r>
    <r>
      <rPr>
        <b/>
        <sz val="11"/>
        <color theme="1"/>
        <rFont val="Calibri"/>
        <family val="2"/>
        <scheme val="minor"/>
      </rPr>
      <t>Total Energía Consumida (ECn) 2022</t>
    </r>
  </si>
  <si>
    <r>
      <t xml:space="preserve">28.14. </t>
    </r>
    <r>
      <rPr>
        <b/>
        <sz val="11"/>
        <color theme="1"/>
        <rFont val="Calibri"/>
        <family val="2"/>
        <scheme val="minor"/>
      </rPr>
      <t>Total Energía Consumida (ECn) 2023</t>
    </r>
  </si>
  <si>
    <t>28.15.Producto Interno Bruto (PIBn)2022</t>
  </si>
  <si>
    <t>28.16.Producto Interno Bruto (PIBn)2022</t>
  </si>
  <si>
    <t>28.17.𝐼𝐸𝑁2022</t>
  </si>
  <si>
    <t>28.18 𝐼𝐸𝑁2023</t>
  </si>
  <si>
    <t>29. Participación de las fncer en la matriz energética primaria</t>
  </si>
  <si>
    <t>29.1.Generación de las Pequeñas Centrales Hidroeléctricas (P) (TJ) 2022</t>
  </si>
  <si>
    <t>29.2.Generación de las Pequeñas Centrales Hidroeléctricas (P) (TJ) 2023</t>
  </si>
  <si>
    <t>29.3. CT Central Eólica (E) · Primario · Casilla C28 · Energía primaria 2022 (TJ)</t>
  </si>
  <si>
    <t>29.4. CT Central Eólica (E) · Primario · Casilla C28 · Energía primaria 2023 (TJ)</t>
  </si>
  <si>
    <t>29.5. CT Central Solar (S) · Primario · Casilla C29 · Energía primaria 2022 (TJ)</t>
  </si>
  <si>
    <t>29.6. CT Central Solar (S) · Primario · Casilla C29 · Energía primaria 2023 (TJ)</t>
  </si>
  <si>
    <t>29.7. CT Plantas de Biodiesel (B) · Primario · Casilla C36 · Energía primaria 2022 (TJ)</t>
  </si>
  <si>
    <t>29.8. CT Plantas de Biodiesel (B) · Primario · Casilla C36 · Energía primaria 2023 (TJ)</t>
  </si>
  <si>
    <r>
      <t xml:space="preserve">29.9. </t>
    </r>
    <r>
      <rPr>
        <b/>
        <sz val="11"/>
        <color theme="1"/>
        <rFont val="Calibri"/>
        <family val="2"/>
        <scheme val="minor"/>
      </rPr>
      <t>Total energía generada por eólica, solar y biodiesel 2022 (TJ)</t>
    </r>
  </si>
  <si>
    <r>
      <t xml:space="preserve">29.10. </t>
    </r>
    <r>
      <rPr>
        <b/>
        <sz val="11"/>
        <color theme="1"/>
        <rFont val="Calibri"/>
        <family val="2"/>
        <scheme val="minor"/>
      </rPr>
      <t>Total energía generada por eólica, solar y biodiesel 2023 (TJ)</t>
    </r>
  </si>
  <si>
    <t>29.11. Extracción Primaria (EP) · Primario · Casilla C10 · Energía primaria 2022 (TJ)</t>
  </si>
  <si>
    <t>29.12. Extracción Primaria (EP) · Primario · Casilla C10 · Energía primaria 2023 (TJ)</t>
  </si>
  <si>
    <t>29.13. Importaciones (I) · Primario · Casilla C11 · Energía primaria 2022 (TJ)</t>
  </si>
  <si>
    <t>29.14. Importaciones (I) · Primario · Casilla C11 · Energía primaria 2023 (TJ)</t>
  </si>
  <si>
    <t>29.15. Exportaciones (Ex) · Primario · Casilla C13 · Energía primaria 2022 (TJ)</t>
  </si>
  <si>
    <t>29.16. Exportaciones (Ex) · Primario · Casilla C13 · Energía primaria 2023 (TJ)</t>
  </si>
  <si>
    <r>
      <t xml:space="preserve">29.17. </t>
    </r>
    <r>
      <rPr>
        <b/>
        <sz val="11"/>
        <color theme="1"/>
        <rFont val="Calibri"/>
        <family val="2"/>
        <scheme val="minor"/>
      </rPr>
      <t>Total Oferta Energía Primaria (EP+I−E) 2022 (TJ)</t>
    </r>
  </si>
  <si>
    <r>
      <t xml:space="preserve">29.18. </t>
    </r>
    <r>
      <rPr>
        <b/>
        <sz val="11"/>
        <color theme="1"/>
        <rFont val="Calibri"/>
        <family val="2"/>
        <scheme val="minor"/>
      </rPr>
      <t>Total Oferta Energía Primaria (EP+I−E) 2023 (TJ)</t>
    </r>
  </si>
  <si>
    <t>29.20.𝐺𝐵𝐸𝑆𝑃2022</t>
  </si>
  <si>
    <t>29.21. 𝐺𝐵𝐸𝑆𝑃2023</t>
  </si>
  <si>
    <t>29.22.𝐺𝑇2022</t>
  </si>
  <si>
    <t>29.23. 𝐺𝑇2023</t>
  </si>
  <si>
    <t>29.24.𝐹𝑁𝐶𝐸𝑅2022</t>
  </si>
  <si>
    <t>29.25.𝐹𝑁𝐶𝐸𝑅2023</t>
  </si>
  <si>
    <t>Interpretación del indicador de participación de las FNCER en matriz primaria</t>
  </si>
  <si>
    <t>Interpretación del indicador de variación de la intensidad energética nacional</t>
  </si>
  <si>
    <t>Participación de las fncer en la matriz energética primaria</t>
  </si>
  <si>
    <t>31.Producción de minerales estratégicos y críticos para la TEJ.</t>
  </si>
  <si>
    <t>31.1.𝑃2022</t>
  </si>
  <si>
    <t>31.2.𝑃2023</t>
  </si>
  <si>
    <t>Interpretación del indicador de producción de minerales estratégicos y críticos para la TEJ.</t>
  </si>
  <si>
    <t>32. Pobreza multidimensional en municipios productores de minerales estratégicos</t>
  </si>
  <si>
    <t>32.2. Municipios productores de ME</t>
  </si>
  <si>
    <t>32.1. IPM para esa lista de municipios productores de ME</t>
  </si>
  <si>
    <t>32.3. IPM para esa lista de municipios no  productores de ME</t>
  </si>
  <si>
    <t>32.4. Municipios no productores de ME</t>
  </si>
  <si>
    <t>32.5. IPM ME</t>
  </si>
  <si>
    <t>32.6. I𝑃𝑀 𝑁𝑀𝐸</t>
  </si>
  <si>
    <t>Interpretación del indicador de pobreza multidimensional en municipios productores de minerales estratégicos para la TEJ</t>
  </si>
  <si>
    <t>33.Recaudo efectivo de regalías</t>
  </si>
  <si>
    <t>33.1. 𝐼𝑛𝑔𝑟𝑒𝑠𝑜 𝑟𝑒𝑎𝑙 𝑝𝑜𝑟 𝑐𝑜𝑛𝑐𝑒𝑝𝑡𝑜 𝑑𝑒 𝑟𝑒𝑔𝑎𝑙𝑖𝑎𝑠 (2023)</t>
  </si>
  <si>
    <t>33.2. 𝐼𝑛𝑔𝑟𝑒𝑠𝑜 𝑑𝑒 𝑟𝑒𝑔𝑎𝑙𝑖𝑎𝑠 𝑝𝑟𝑜𝑦𝑒𝑐𝑡𝑎𝑑𝑎𝑠 (2023)</t>
  </si>
  <si>
    <t>Interpretación del indicador de recaudo efectivo de regalías</t>
  </si>
  <si>
    <t>34.1. 𝑃𝑟𝑒𝑠𝑢𝑝𝑢𝑒𝑠𝑡𝑜 𝑒𝑗𝑒𝑐𝑢𝑡𝑎𝑑𝑜 𝑎𝑙 𝑠𝑒𝑐𝑡𝑜𝑟 𝐴𝑦𝐷𝑆 (2023)</t>
  </si>
  <si>
    <t>34.2.𝐴𝑠𝑖𝑔𝑛𝑎𝑐𝑖ó𝑛 𝑑𝑒 𝑟𝑒𝑔𝑎𝑙𝑖𝑎𝑠 𝑎𝑙 𝑠𝑒𝑐𝑡𝑜𝑟 𝐴𝑦𝐷𝑆 (2023)</t>
  </si>
  <si>
    <t>Interpretación del indicador de regalías destinadas al sector ambiente y de desarrollo sostenible</t>
  </si>
  <si>
    <t>34.Regalías destinadas al sector ambiente y desarrollo sostenible</t>
  </si>
  <si>
    <t>35.Variación de proyectos del SGR dirigidos al sector ambiente y desarrollo sostenible</t>
  </si>
  <si>
    <t>35.1.𝑃𝑟𝑜𝑦𝑒𝑐𝑡𝑜𝑠 𝑑𝑖𝑟𝑖𝑔𝑖𝑑𝑜𝑠 𝐴𝑦𝐷𝑆 (2023)</t>
  </si>
  <si>
    <t>35.2.𝑃𝑟𝑜𝑦𝑒𝑐𝑡𝑜𝑠 𝑑𝑖𝑟𝑖𝑔𝑖𝑑𝑜𝑠 𝐴𝑦𝐷𝑆 (2022)</t>
  </si>
  <si>
    <t>Interpretación del indicador de variación de proyectos del SGR dirigidos al sector ambiente y desarrollo sostenible</t>
  </si>
  <si>
    <t>36. Participación del sector minero energético en el PIB nacional</t>
  </si>
  <si>
    <t>36.1. 𝑃𝐼𝐵 (𝑆𝑀𝐸)(𝑡)</t>
  </si>
  <si>
    <t>36.2.𝑃𝐼𝐵 𝑁𝑎𝑐𝑖𝑜𝑛𝑎𝑙 (2023)</t>
  </si>
  <si>
    <t>Interpretación del indicador de participación del sector minero energético en el PIB nacional</t>
  </si>
  <si>
    <t>37.Participación del sector minero energético en las exportaciones del país</t>
  </si>
  <si>
    <t>37.1.𝐸𝑥𝑝𝑜𝑟𝑡𝑎𝑐𝑖𝑜𝑛𝑒𝑠 𝑑𝑒𝑙 𝑠𝑒𝑐𝑡𝑜𝑟 𝑝𝑎𝑟𝑎 𝑒𝑙 𝑎ñ𝑜 (2023)</t>
  </si>
  <si>
    <t>37.2.𝐸𝑥𝑝𝑜𝑟𝑡𝑎𝑐𝑖𝑜𝑛𝑒𝑠 𝑑𝑒𝑙 𝑠𝑒𝑐𝑡𝑜𝑟 𝑝𝑎𝑟𝑎 𝑒𝑙 𝑎ñ𝑜 (2023)</t>
  </si>
  <si>
    <t>Interpretación del indicador de participación del sector minero energético en las exportaciones del país</t>
  </si>
  <si>
    <t>38.Pobreza multidimensional en municipios productores de hidrocarburos.</t>
  </si>
  <si>
    <t>38.1.Σ𝐼𝑃𝑀𝑚𝑢𝑛𝑖𝑐𝑖𝑝𝑖𝑜𝑠 𝑝𝑟𝑜𝑑𝑢𝑐𝑡𝑜𝑟𝑒𝑠</t>
  </si>
  <si>
    <t>38.2.𝑁ú𝑚𝑒𝑟𝑜 𝑑𝑒 𝑚𝑢𝑛𝑖𝑐𝑖𝑝𝑖𝑜𝑠 𝑝𝑟𝑜𝑑𝑢𝑐𝑡𝑜𝑟𝑒𝑠</t>
  </si>
  <si>
    <t>38.3.𝐼𝑃𝑀 𝑃𝑀𝑃</t>
  </si>
  <si>
    <t>38.4.Σ𝐼𝑃𝑀𝑚𝑢𝑛𝑖𝑐𝑖𝑝𝑖𝑜𝑠 𝑛𝑜 𝑝𝑟𝑜𝑑𝑢𝑐𝑡𝑜𝑟𝑒𝑠</t>
  </si>
  <si>
    <t>38.5.𝑁ú𝑚𝑒𝑟𝑜 𝑑𝑒 𝑚𝑢𝑛𝑖𝑐𝑖𝑝𝑖𝑜𝑠 𝑛𝑜 𝑝𝑟𝑜𝑑𝑢𝑐𝑡𝑜𝑟𝑒𝑠</t>
  </si>
  <si>
    <t>38.6.𝐼𝑃𝑀 𝑃𝑀𝑁𝑃</t>
  </si>
  <si>
    <t>Interpretación del Indicador de Diferencia Relativa Promedio IPM</t>
  </si>
  <si>
    <t>39.Índice de cobertura y equidad territorial en municipios productores</t>
  </si>
  <si>
    <t>39.1.# 𝑑𝑒 𝑏𝑒𝑛𝑒𝑓𝑖𝑐𝑖𝑎𝑟𝑖𝑜𝑠 𝑎𝑙𝑐𝑎𝑛𝑧𝑎𝑑𝑜𝑠</t>
  </si>
  <si>
    <t>39.2.# 𝑑𝑒 𝑚𝑢𝑛𝑖𝑐𝑖𝑝𝑖𝑜𝑠 𝑏𝑒𝑛𝑒𝑓𝑖𝑐𝑖𝑎𝑑𝑜𝑠 𝑐𝑜𝑛 𝑃𝐵𝐶</t>
  </si>
  <si>
    <t>39.3.𝑃𝑜𝑏𝑙𝑎𝑐𝑖ó𝑛 𝑡𝑜𝑡𝑎𝑙 𝑑𝑒 𝑙𝑜𝑠 𝑀.𝑃</t>
  </si>
  <si>
    <t>39.4.𝑇𝑜𝑡𝑎𝑙 𝑑𝑒 𝑚𝑢𝑛𝑖𝑐𝑖𝑝𝑖𝑜𝑠 𝑝𝑟𝑜𝑑𝑢𝑐𝑡𝑜𝑟𝑒𝑠</t>
  </si>
  <si>
    <t>Interpretación del resultado del indicador de cobertura y equidad territorial en municipios productores</t>
  </si>
  <si>
    <t>40.Participación de los hidrocarburos en la matriz energética (IPHME)</t>
  </si>
  <si>
    <t>40.1. 𝐶𝑜𝑛𝑠𝑢𝑚𝑜 𝑑𝑒 ℎ𝑖𝑑𝑟𝑜𝑐𝑎𝑟𝑏𝑢𝑟𝑜𝑠 𝑒𝑛 𝑙𝑎 𝑒𝑛𝑒𝑟𝑔í𝑎 𝑡𝑜𝑡𝑎𝑙 (𝑇𝐽)</t>
  </si>
  <si>
    <t>40.2.𝑇𝑜𝑡𝑎𝑙 𝑑𝑒 𝑚𝑢𝑛𝑖𝑐𝑖𝑝𝑖𝑜𝑠 𝑝𝑟𝑜𝑑𝑢𝑐𝑡𝑜𝑟𝑒𝑠𝐶𝑜𝑛𝑠𝑢𝑚𝑜 𝑡𝑜𝑡𝑎𝑙 𝑑𝑒 𝑒𝑛𝑒𝑟𝑔í𝑎 (𝑇𝐽</t>
  </si>
  <si>
    <t>Interpretación del resultado del indicador participación de los hidrocarburos en la matriz energética</t>
  </si>
  <si>
    <t>41.Variación del stock de hidrocarburos</t>
  </si>
  <si>
    <t>41.2.𝑆𝑡𝑜𝑐𝑘 𝑎𝑝𝑒𝑟𝑡𝑢𝑟𝑎 𝑔𝑎𝑠 (𝑇𝐽)</t>
  </si>
  <si>
    <t>41.1.𝑆𝑡𝑜𝑐𝑘 𝑎𝑝𝑒𝑟𝑡𝑢𝑟𝑎 𝑝𝑒𝑡𝑟ó𝑙𝑒𝑜 (𝑇𝐽)</t>
  </si>
  <si>
    <t>41.3. 𝑅𝑒𝑠𝑒𝑟𝑣𝑎𝑠 𝑖𝑛𝑖𝑐𝑖𝑎𝑙𝑒𝑠</t>
  </si>
  <si>
    <t>41.5.𝑆𝑡𝑜𝑐𝑘 𝑐𝑖𝑒𝑟𝑟𝑒 𝑔𝑎𝑠 (𝑇𝐽)</t>
  </si>
  <si>
    <t>41.4.𝑐𝑖𝑒𝑟𝑟𝑒 𝑝𝑒𝑡𝑟ó𝑙𝑒𝑜 (𝑇𝐽)</t>
  </si>
  <si>
    <t>41.6. 𝑅𝑒𝑠𝑒𝑟𝑣𝑎𝑠 𝑓𝑖𝑛𝑎𝑙𝑒𝑠</t>
  </si>
  <si>
    <t>Interpretación del resultado indicador variación del stock de hidrocarburos</t>
  </si>
  <si>
    <t>42. Disponibilidad de reservas de hidrocarburos (R/P)</t>
  </si>
  <si>
    <t>42.2.𝐸𝑥𝑡𝑟𝑎𝑐𝑐𝑖ó𝑛 𝑔𝑎𝑠 (𝑇𝐽)</t>
  </si>
  <si>
    <t>42.1.𝐸𝑥𝑡𝑟𝑎𝑐𝑐𝑖ó𝑛 𝑝𝑒𝑡𝑟ó𝑙𝑒𝑜 (𝑇𝐽)</t>
  </si>
  <si>
    <t>42.3.𝐸𝑥𝑡𝑟𝑎𝑐𝑐𝑖ó𝑛</t>
  </si>
  <si>
    <t>42.4.𝑆𝑡𝑜𝑐𝑘 𝑑𝑒 𝑐𝑖𝑒𝑟𝑟𝑒 𝑝𝑒𝑡𝑟ó𝑙𝑒𝑜</t>
  </si>
  <si>
    <t>42.5.𝑆𝑡𝑜𝑐𝑘 𝑑𝑒 𝑐𝑖𝑒𝑟𝑟𝑒 𝑔𝑎𝑠</t>
  </si>
  <si>
    <t>42.6.𝑆𝑡𝑜𝑐𝑘 𝑑𝑒 𝑐𝑖𝑒𝑟𝑟𝑒</t>
  </si>
  <si>
    <t>Interpretación del resultado indicador disponibilidad de reservas de hidrocarburos R/P</t>
  </si>
  <si>
    <t>43.Tasa de extracción de hidrocarburos (TEH)</t>
  </si>
  <si>
    <t>43.1.𝐸𝑥𝑡𝑟𝑎𝑐𝑐𝑖ó𝑛 𝑝𝑒𝑡𝑟ó𝑙𝑒𝑜 (𝑇𝐽)</t>
  </si>
  <si>
    <t>43.2.𝐸𝑥𝑡𝑟𝑎𝑐𝑐𝑖ó𝑛 𝑔𝑎𝑠 (𝑇𝐽)</t>
  </si>
  <si>
    <t>43.3.𝐸𝑥𝑡𝑟𝑎𝑐𝑐𝑖ó𝑛</t>
  </si>
  <si>
    <t>43.4.𝑆𝑡𝑜𝑐𝑘 𝑎𝑝𝑒𝑟𝑡𝑢𝑟𝑎 𝑝𝑒𝑡𝑟ó𝑙𝑒𝑜 (𝑇𝐽)</t>
  </si>
  <si>
    <t>43.5.𝑆𝑡𝑜𝑐𝑘 𝑎𝑝𝑒𝑟𝑡𝑢𝑟𝑎 𝑔𝑎𝑠 (𝑇𝐽)</t>
  </si>
  <si>
    <t>43.7.𝐼𝑛𝑐𝑟𝑒𝑚𝑒𝑛𝑡𝑜𝑠 𝑎𝑙 𝑠𝑡𝑜𝑐𝑘 𝑔𝑎𝑠 (𝑇𝐽)</t>
  </si>
  <si>
    <t>43.6.𝐼𝑛𝑐𝑟𝑒𝑚𝑒𝑛𝑡𝑜𝑠 𝑎𝑙 𝑠𝑡𝑜𝑐𝑘 𝑝𝑒𝑡𝑟ó𝑙𝑒𝑜 (𝑇𝐽)</t>
  </si>
  <si>
    <t>43.8.𝐼𝑛𝑐𝑟𝑒𝑚𝑒𝑛𝑡𝑜𝑠 𝑎𝑙 𝑠𝑡𝑜𝑐𝑘</t>
  </si>
  <si>
    <t>43.9.𝐼𝑛𝑐𝑟𝑒𝑚𝑒𝑛𝑡𝑜𝑠 𝑎𝑙 𝑠𝑡𝑜𝑐𝑘</t>
  </si>
  <si>
    <t>Interpretación del resultado indicador tasa de extracción de hidrocarburos</t>
  </si>
  <si>
    <t>44.Superposición de títulos mineros activos con áreas ambientales excluibles, restrictivas e informativas para la minería</t>
  </si>
  <si>
    <t>44.1. Número de títulos activos en etapa de evaluación técnica anticipada</t>
  </si>
  <si>
    <t>44.2. Área en hectáreas de títulos activos en etapa de evaluación técnica anticipada</t>
  </si>
  <si>
    <t>44.3. Número de títulos activos en etapa de construcción y montaje</t>
  </si>
  <si>
    <t>44.4. Área en hectáreas de títulos activos en etapa de construcción y montaje</t>
  </si>
  <si>
    <t>44.5. Número de títulos activos en etapa de explotación</t>
  </si>
  <si>
    <t>44.6. Área en hectáreas de títulos activos en etapa de explotación</t>
  </si>
  <si>
    <t>44.7. Número total de títulos activos</t>
  </si>
  <si>
    <t>44.8. Área total en hectáreas de títulos activos</t>
  </si>
  <si>
    <t>44.9. Número de títulos mineros superpuestos en área de exclusión</t>
  </si>
  <si>
    <t>44.10. Área en hectáreas de títulos en etapa de construcción y montaje superpuestos en área de exclusión</t>
  </si>
  <si>
    <t>44.11. Área en hectáreas de títulos en etapa de explotación superpuestos en área de exclusión</t>
  </si>
  <si>
    <t>44.12. Área total en hectáreas de títulos mineros superpuestos en área de exclusión</t>
  </si>
  <si>
    <t>44.13. Número de títulos mineros superpuestos en área de restricción</t>
  </si>
  <si>
    <t>44.14. Área en hectáreas de títulos en etapa de construcción y montaje superpuestos en área de restricción</t>
  </si>
  <si>
    <t>44.15. Área en hectáreas de títulos en etapa de explotación superpuestos en área de restricción</t>
  </si>
  <si>
    <t>44.16. Área total en hectáreas de títulos mineros superpuestos en área de restricción</t>
  </si>
  <si>
    <t>44.17. Número de títulos mineros superpuestos en área informativa</t>
  </si>
  <si>
    <t>44.18. Área en hectáreas de títulos en etapa de construcción y montaje superpuestos en área informativa</t>
  </si>
  <si>
    <t>44.19. Área en hectáreas de títulos en etapa de explotación superpuestos en área informativa</t>
  </si>
  <si>
    <t>44.20. Área total en hectáreas de títulos mineros superpuestos en área informativa</t>
  </si>
  <si>
    <t>44.21. Área en hectáreas de títulos en etapa de construcción y montaje superpuestos en zonas de protección y desarrollo de los recursos naturales renovables</t>
  </si>
  <si>
    <t>44.22. Área en hectáreas de títulos en etapa de explotación superpuestos en zonas de protección y desarrollo de los recursos naturales renovables</t>
  </si>
  <si>
    <t>44.23. Área total en hectáreas de títulos mineros superpuestos en zonas de protección y desarrollo de los recursos naturales renovables</t>
  </si>
  <si>
    <t>44.24. Área en hectáreas de títulos en etapa de construcción y montaje superpuestos en zonas de exclusión ambiental para la minería</t>
  </si>
  <si>
    <t>44.25. Área en hectáreas de títulos en etapa de explotación superpuestos en zonas de exclusión ambiental para la minería</t>
  </si>
  <si>
    <t>44.26. Área total en hectáreas de títulos mineros superpuestos en zonas de exclusión ambiental para la minería</t>
  </si>
  <si>
    <t>44.27. Área en hectáreas de títulos en etapa de construcción y montaje superpuestos en sitios RAMSAR</t>
  </si>
  <si>
    <t>44.28. Área en hectáreas de títulos en etapa de explotación superpuestos en sitios RAMSAR</t>
  </si>
  <si>
    <t>44.29. Área total en hectáreas de títulos mineros superpuestos en sitios RAMSAR</t>
  </si>
  <si>
    <t>44.30. Área en hectáreas de títulos en etapa de construcción y montaje superpuestos en Sabana de Bogotá</t>
  </si>
  <si>
    <t>44.31. Área en hectáreas de títulos en etapa de explotación superpuestos en Sabana de Bogotá</t>
  </si>
  <si>
    <t>44.32. Área total en hectáreas de títulos mineros superpuestos en Sabana de Bogotá</t>
  </si>
  <si>
    <t>44.33. Área en hectáreas de títulos en etapa de construcción y montaje superpuestos en Páramos 1:25.000</t>
  </si>
  <si>
    <t>44.34. Área en hectáreas de títulos en etapa de explotación superpuestos en Páramos 1:25.000</t>
  </si>
  <si>
    <t>44.35. Área total en hectáreas de títulos mineros superpuestos en Páramos 1:25.000</t>
  </si>
  <si>
    <t>44.36. Área en hectáreas de títulos en etapa de construcción y montaje superpuestos en Páramos 1:100.000</t>
  </si>
  <si>
    <t>44.37. Área en hectáreas de títulos en etapa de explotación superpuestos en Páramos 1:100.000</t>
  </si>
  <si>
    <t>44.38. Área total en hectáreas de títulos mineros superpuestos en Páramos 1:100.000</t>
  </si>
  <si>
    <t>44.39. Área en hectáreas de títulos en etapa de construcción y montaje superpuestos en Áreas Protegidas (SINAP)</t>
  </si>
  <si>
    <t>44.40. Área en hectáreas de títulos en etapa de explotación superpuestos en Áreas Protegidas (SINAP)</t>
  </si>
  <si>
    <t>44.41. Área total en hectáreas de títulos mineros superpuestos en Áreas Protegidas (SINAP)</t>
  </si>
  <si>
    <t>44.42. Área en hectáreas de títulos en etapa de construcción y montaje superpuestos en Páramo de Santurbán</t>
  </si>
  <si>
    <t>44.43. Área en hectáreas de títulos en etapa de explotación superpuestos en Páramo de Santurbán</t>
  </si>
  <si>
    <t>44.44. Área total en hectáreas de títulos mineros superpuestos en Páramo de Santurbán</t>
  </si>
  <si>
    <t>44.45. Área en hectáreas de títulos en etapa de construcción y montaje superpuestos en zonas de restricción minera</t>
  </si>
  <si>
    <t>44.46. Área en hectáreas de títulos en etapa de explotación superpuestos en zonas de restricción minera</t>
  </si>
  <si>
    <t>44.47. Área total en hectáreas de títulos mineros superpuestos en zonas de restricción minera</t>
  </si>
  <si>
    <t>44.48. Área en hectáreas de títulos en etapa de construcción y montaje superpuestos en Paisaje Cultural Cafetero</t>
  </si>
  <si>
    <t>44.49. Área en hectáreas de títulos en etapa de explotación superpuestos en Paisaje Cultural Cafetero</t>
  </si>
  <si>
    <t>44.50. Área total en hectáreas de títulos mineros superpuestos en Paisaje Cultural Cafetero</t>
  </si>
  <si>
    <t>44.51. Área en hectáreas de títulos en etapa de construcción y montaje superpuestos en Reserva Forestal de Ley Segunda</t>
  </si>
  <si>
    <t>44.52. Área en hectáreas de títulos en etapa de explotación superpuestos en Reserva Forestal de Ley Segunda</t>
  </si>
  <si>
    <t>44.53. Área total en hectáreas de títulos mineros superpuestos en Reserva Forestal de Ley Segunda</t>
  </si>
  <si>
    <t>44.54. Área en hectáreas de títulos en etapa de construcción y montaje superpuestos en Zona de Compensación</t>
  </si>
  <si>
    <t>44.55. Área en hectáreas de títulos en etapa de explotación superpuestos en Zona de Compensación</t>
  </si>
  <si>
    <t>44.56. Área total en hectáreas de títulos mineros superpuestos en Zona de Compensación</t>
  </si>
  <si>
    <t>44.57. Área en hectáreas de títulos en etapa de construcción y montaje superpuestos en Bosques de Paz</t>
  </si>
  <si>
    <t>44.58. Área en hectáreas de títulos en etapa de explotación superpuestos en Bosques de Paz</t>
  </si>
  <si>
    <t>44.59. Área total en hectáreas de títulos mineros superpuestos en Bosques de Paz</t>
  </si>
  <si>
    <t>44.60. Área en hectáreas de títulos en etapa de construcción y montaje superpuestos en Otras Áreas Protegidas</t>
  </si>
  <si>
    <t>44.61. Área en hectáreas de títulos en etapa de explotación superpuestos en Otras Áreas Protegidas</t>
  </si>
  <si>
    <t>44.62. Área total en hectáreas de títulos mineros superpuestos en Otras Áreas Protegidas</t>
  </si>
  <si>
    <t>44.63. Área en hectáreas de títulos en etapa de construcción y montaje superpuestos en Reserva de la Biosfera</t>
  </si>
  <si>
    <t>44.64. Área en hectáreas de títulos en etapa de explotación superpuestos en Reserva de la Biosfera</t>
  </si>
  <si>
    <t>44.65. Área total en hectáreas de títulos mineros superpuestos en Reserva de la Biosfera</t>
  </si>
  <si>
    <t xml:space="preserve">44.67. suma areas Superposición títulos mineros activos con áreas de exclusión ambiental etapa construccion y montaje </t>
  </si>
  <si>
    <t>44.68. suma areas Superposición títulos mineros activos con áreas de exclusión ambiental etapa explotacion</t>
  </si>
  <si>
    <t>44.69. sumatoria total  suma areas Superposición títulos mineros activos con áreas de exclusión</t>
  </si>
  <si>
    <t xml:space="preserve">44.67. suma areas Superposición títulos mineros activos con áreas de restriccion ambiental etapa construccion y montaje </t>
  </si>
  <si>
    <t>44.68. suma areas Superposición títulos mineros activos con áreas de restriccion ambiental etapa explotacion</t>
  </si>
  <si>
    <t>44.69. sumatoria total  suma areas Superposición títulos mineros activos con áreas de restriccion</t>
  </si>
  <si>
    <t xml:space="preserve">44.70. suma areas Superposición títulos mineros activos con áreas de informativas ambiental etapa construccion y montaje </t>
  </si>
  <si>
    <t>44.71. suma areas Superposición títulos mineros activos con áreas de informativas ambiental etapa explotacion</t>
  </si>
  <si>
    <t>44.72. sumatoria total  suma areas Superposición títulos mineros activos con áreas de informativas</t>
  </si>
  <si>
    <t>44.73 %𝑆𝑇𝑀𝐸</t>
  </si>
  <si>
    <t>44.74 %𝑆𝑇𝑀𝑅</t>
  </si>
  <si>
    <t>44.75.%𝑆𝑇𝑀𝐼</t>
  </si>
  <si>
    <t>44.76.Intervalos de puntaje para determinar el índice de gobernanza excluible</t>
  </si>
  <si>
    <t>44.77.Intervalos de puntaje para determinar el índice de gobernanza restrictiva</t>
  </si>
  <si>
    <t>44.78.Intervalos de puntaje para determinar el índice de gobernanza informativa</t>
  </si>
  <si>
    <t>Resultados e Interpretación del porcentaje de superposición de áreas con la ponderación del índice de gobernanza año 2023</t>
  </si>
  <si>
    <t>45.Superposición de áreas de reserva especial declaradas y solicitadas con áreas ambientales excluibles, restrictivas e informativas para la minería</t>
  </si>
  <si>
    <t>45.1. Número de Áreas de Reserva Especial declaradas superpuestas en zona de exclusión</t>
  </si>
  <si>
    <t>45.2. Área total en hectáreas de Áreas de Reserva Especial declaradas superpuestas en zona de exclusión</t>
  </si>
  <si>
    <t>45.3. Número de Áreas de Reserva Especial declaradas superpuestas en zona de restricción</t>
  </si>
  <si>
    <t>45.4. Área total en hectáreas de Áreas de Reserva Especial declaradas superpuestas en zona de restricción</t>
  </si>
  <si>
    <t>45.5. Número de Áreas de Reserva Especial declaradas superpuestas en zona informativa</t>
  </si>
  <si>
    <t>45.6. Área total en hectáreas de Áreas de Reserva Especial declaradas superpuestas en zona informativa</t>
  </si>
  <si>
    <t>45.7. Superposición en hectáreas de títulos mineros con Páramos 1:100.000</t>
  </si>
  <si>
    <t>45.8. Superposición en hectáreas de títulos mineros con Páramo de Santurbán</t>
  </si>
  <si>
    <t>45.9. Superposición en hectáreas de títulos mineros con Exclusión ambiental para la minería</t>
  </si>
  <si>
    <t>45.10. Superposición en hectáreas de títulos mineros con Sabana de Bogotá</t>
  </si>
  <si>
    <t>45.11. Superposición en hectáreas de títulos mineros con Zonas de protección y desarrollo de recursos naturales renovables</t>
  </si>
  <si>
    <t>45.12. Superposición total en hectáreas de títulos mineros con estas coberturas ambientales</t>
  </si>
  <si>
    <t>45.13. Superposición en hectáreas de títulos mineros con Reserva Forestal de Ley Segunda</t>
  </si>
  <si>
    <t>45.14. Superposición en hectáreas de títulos mineros con Paisaje Cultural Cafetero</t>
  </si>
  <si>
    <t>45.15. Superposición en hectáreas de títulos mineros con Zonas de restricción minera</t>
  </si>
  <si>
    <t>45.16. Superposición total en hectáreas de títulos mineros con estas coberturas ambientales</t>
  </si>
  <si>
    <r>
      <t>45.16.</t>
    </r>
    <r>
      <rPr>
        <sz val="11"/>
        <color theme="1"/>
        <rFont val="Calibri"/>
        <family val="2"/>
        <scheme val="minor"/>
      </rPr>
      <t xml:space="preserve"> Superposición en hectáreas de títulos mineros con Otras Áreas Protegidas</t>
    </r>
  </si>
  <si>
    <r>
      <t>45.17.</t>
    </r>
    <r>
      <rPr>
        <sz val="11"/>
        <color theme="1"/>
        <rFont val="Calibri"/>
        <family val="2"/>
        <scheme val="minor"/>
      </rPr>
      <t xml:space="preserve"> Superposición en hectáreas de títulos mineros con Reserva de la Biosfera</t>
    </r>
  </si>
  <si>
    <r>
      <t>45.18.</t>
    </r>
    <r>
      <rPr>
        <sz val="11"/>
        <color theme="1"/>
        <rFont val="Calibri"/>
        <family val="2"/>
        <scheme val="minor"/>
      </rPr>
      <t xml:space="preserve"> Superposición total en hectáreas de títulos mineros con estas coberturas ambientales</t>
    </r>
  </si>
  <si>
    <t>45.19.%𝑆𝐴𝑅𝐸(𝐸)</t>
  </si>
  <si>
    <t>45.20 %𝑆𝐴𝑅𝐸(𝑅)</t>
  </si>
  <si>
    <t>45.21.%𝑆𝐴𝑅𝐸(𝐼)</t>
  </si>
  <si>
    <t xml:space="preserve">45.22.Resultados e Interpretación del porcentaje de superposición de áreas excluision </t>
  </si>
  <si>
    <t>45.23.Resultados e Interpretación del porcentaje de superposición de áreas restrictivas</t>
  </si>
  <si>
    <t>45.24.Resultados e Interpretación del porcentaje de superposición de áreas informativas</t>
  </si>
  <si>
    <t>46.Procesos de formalización y registro minero</t>
  </si>
  <si>
    <r>
      <t>46.1.</t>
    </r>
    <r>
      <rPr>
        <sz val="11"/>
        <color theme="1"/>
        <rFont val="Calibri"/>
        <family val="2"/>
        <scheme val="minor"/>
      </rPr>
      <t xml:space="preserve"> Número de procesos en el país bajo la Solicitud de Formalización Ley 1955 de 2019, Art. 325</t>
    </r>
  </si>
  <si>
    <r>
      <t>46.2.</t>
    </r>
    <r>
      <rPr>
        <sz val="11"/>
        <color theme="1"/>
        <rFont val="Calibri"/>
        <family val="2"/>
        <scheme val="minor"/>
      </rPr>
      <t xml:space="preserve"> Número de mineros formalizados bajo la Solicitud de Formalización Ley 1955 de 2019, Art. 325</t>
    </r>
  </si>
  <si>
    <r>
      <t>46.3.</t>
    </r>
    <r>
      <rPr>
        <sz val="11"/>
        <color theme="1"/>
        <rFont val="Calibri"/>
        <family val="2"/>
        <scheme val="minor"/>
      </rPr>
      <t xml:space="preserve"> Número de procesos en el país bajo la Regularización en el marco de la Ley 685 de 2001</t>
    </r>
  </si>
  <si>
    <r>
      <t>46.4.</t>
    </r>
    <r>
      <rPr>
        <sz val="11"/>
        <color theme="1"/>
        <rFont val="Calibri"/>
        <family val="2"/>
        <scheme val="minor"/>
      </rPr>
      <t xml:space="preserve"> Número de mineros formalizados bajo la Regularización en el marco de la Ley 685 de 2001</t>
    </r>
  </si>
  <si>
    <r>
      <t>46.5.</t>
    </r>
    <r>
      <rPr>
        <sz val="11"/>
        <color theme="1"/>
        <rFont val="Calibri"/>
        <family val="2"/>
        <scheme val="minor"/>
      </rPr>
      <t xml:space="preserve"> Número de procesos en el país bajo el mecanismo de Área de Reserva Especial</t>
    </r>
  </si>
  <si>
    <r>
      <t>46.6.</t>
    </r>
    <r>
      <rPr>
        <sz val="11"/>
        <color theme="1"/>
        <rFont val="Calibri"/>
        <family val="2"/>
        <scheme val="minor"/>
      </rPr>
      <t xml:space="preserve"> Número de mineros formalizados bajo el mecanismo de Área de Reserva Especial</t>
    </r>
  </si>
  <si>
    <r>
      <t>46.7.</t>
    </r>
    <r>
      <rPr>
        <sz val="11"/>
        <color theme="1"/>
        <rFont val="Calibri"/>
        <family val="2"/>
        <scheme val="minor"/>
      </rPr>
      <t xml:space="preserve"> Número de procesos en el país bajo Subcontrato de Formalización Minera</t>
    </r>
  </si>
  <si>
    <r>
      <t>46.8.</t>
    </r>
    <r>
      <rPr>
        <sz val="11"/>
        <color theme="1"/>
        <rFont val="Calibri"/>
        <family val="2"/>
        <scheme val="minor"/>
      </rPr>
      <t xml:space="preserve"> Número de mineros formalizados bajo Subcontrato de Formalización Minera</t>
    </r>
  </si>
  <si>
    <r>
      <t>46.9.</t>
    </r>
    <r>
      <rPr>
        <sz val="11"/>
        <color theme="1"/>
        <rFont val="Calibri"/>
        <family val="2"/>
        <scheme val="minor"/>
      </rPr>
      <t xml:space="preserve"> Número de procesos en el país bajo la Propuesta de Contrato de Concesión Diferencial (PCCD)</t>
    </r>
  </si>
  <si>
    <r>
      <t>46.10.</t>
    </r>
    <r>
      <rPr>
        <sz val="11"/>
        <color theme="1"/>
        <rFont val="Calibri"/>
        <family val="2"/>
        <scheme val="minor"/>
      </rPr>
      <t xml:space="preserve"> Número de mineros formalizados bajo la Propuesta de Contrato de Concesión Diferencial (PCCD)</t>
    </r>
  </si>
  <si>
    <r>
      <t>46.11.</t>
    </r>
    <r>
      <rPr>
        <sz val="11"/>
        <color theme="1"/>
        <rFont val="Calibri"/>
        <family val="2"/>
        <scheme val="minor"/>
      </rPr>
      <t xml:space="preserve"> Total general de procesos de formalización minera en el país</t>
    </r>
  </si>
  <si>
    <r>
      <t>46.12.</t>
    </r>
    <r>
      <rPr>
        <sz val="11"/>
        <color theme="1"/>
        <rFont val="Calibri"/>
        <family val="2"/>
        <scheme val="minor"/>
      </rPr>
      <t xml:space="preserve"> Total general de mineros formalizados en el país</t>
    </r>
  </si>
  <si>
    <r>
      <t>46.13.</t>
    </r>
    <r>
      <rPr>
        <sz val="11"/>
        <color theme="1"/>
        <rFont val="Calibri"/>
        <family val="2"/>
        <scheme val="minor"/>
      </rPr>
      <t xml:space="preserve"> Total de contratos de formalización bajo Solicitudes de Legalización (Ley 685 de 2001 y Ley 1955 de 2019)</t>
    </r>
  </si>
  <si>
    <r>
      <t>46.14.</t>
    </r>
    <r>
      <rPr>
        <sz val="11"/>
        <color theme="1"/>
        <rFont val="Calibri"/>
        <family val="2"/>
        <scheme val="minor"/>
      </rPr>
      <t xml:space="preserve"> Número de beneficiarios directos bajo Solicitudes de Legalización</t>
    </r>
  </si>
  <si>
    <r>
      <t>46.15.</t>
    </r>
    <r>
      <rPr>
        <sz val="11"/>
        <color theme="1"/>
        <rFont val="Calibri"/>
        <family val="2"/>
        <scheme val="minor"/>
      </rPr>
      <t xml:space="preserve"> Número de beneficiarios indirectos bajo Solicitudes de Legalización</t>
    </r>
  </si>
  <si>
    <r>
      <t>46.16.</t>
    </r>
    <r>
      <rPr>
        <sz val="11"/>
        <color theme="1"/>
        <rFont val="Calibri"/>
        <family val="2"/>
        <scheme val="minor"/>
      </rPr>
      <t xml:space="preserve"> Total de contratos de formalización bajo Contratos Especiales de Concesión (Área de Reserva Especial)</t>
    </r>
  </si>
  <si>
    <r>
      <t>46.17.</t>
    </r>
    <r>
      <rPr>
        <sz val="11"/>
        <color theme="1"/>
        <rFont val="Calibri"/>
        <family val="2"/>
        <scheme val="minor"/>
      </rPr>
      <t xml:space="preserve"> Número de beneficiarios directos bajo Contratos Especiales de Concesión</t>
    </r>
  </si>
  <si>
    <r>
      <t>46.18.</t>
    </r>
    <r>
      <rPr>
        <sz val="11"/>
        <color theme="1"/>
        <rFont val="Calibri"/>
        <family val="2"/>
        <scheme val="minor"/>
      </rPr>
      <t xml:space="preserve"> Número de beneficiarios indirectos bajo Contratos Especiales de Concesión</t>
    </r>
  </si>
  <si>
    <r>
      <t>46.19.</t>
    </r>
    <r>
      <rPr>
        <sz val="11"/>
        <color theme="1"/>
        <rFont val="Calibri"/>
        <family val="2"/>
        <scheme val="minor"/>
      </rPr>
      <t xml:space="preserve"> Total de contratos de formalización bajo Subcontratos de Formalización Minera (Aprobadas)</t>
    </r>
  </si>
  <si>
    <r>
      <t>46.20.</t>
    </r>
    <r>
      <rPr>
        <sz val="11"/>
        <color theme="1"/>
        <rFont val="Calibri"/>
        <family val="2"/>
        <scheme val="minor"/>
      </rPr>
      <t xml:space="preserve"> Número de beneficiarios directos bajo Subcontratos de Formalización Minera</t>
    </r>
  </si>
  <si>
    <r>
      <t>46.21.</t>
    </r>
    <r>
      <rPr>
        <sz val="11"/>
        <color theme="1"/>
        <rFont val="Calibri"/>
        <family val="2"/>
        <scheme val="minor"/>
      </rPr>
      <t xml:space="preserve"> Número de beneficiarios indirectos bajo Subcontratos de Formalización Minera</t>
    </r>
  </si>
  <si>
    <r>
      <t>46.22.</t>
    </r>
    <r>
      <rPr>
        <sz val="11"/>
        <color theme="1"/>
        <rFont val="Calibri"/>
        <family val="2"/>
        <scheme val="minor"/>
      </rPr>
      <t xml:space="preserve"> Total de contratos de formalización bajo Contratos de Concesión con requisitos diferenciales (Devolución de Áreas para la Formalización)</t>
    </r>
  </si>
  <si>
    <r>
      <t>46.23.</t>
    </r>
    <r>
      <rPr>
        <sz val="11"/>
        <color theme="1"/>
        <rFont val="Calibri"/>
        <family val="2"/>
        <scheme val="minor"/>
      </rPr>
      <t xml:space="preserve"> Número de beneficiarios directos bajo Contratos de Concesión con requisitos diferenciales</t>
    </r>
  </si>
  <si>
    <r>
      <t>46.24.</t>
    </r>
    <r>
      <rPr>
        <sz val="11"/>
        <color theme="1"/>
        <rFont val="Calibri"/>
        <family val="2"/>
        <scheme val="minor"/>
      </rPr>
      <t xml:space="preserve"> Número de beneficiarios indirectos bajo Contratos de Concesión con requisitos diferenciales</t>
    </r>
  </si>
  <si>
    <r>
      <t>46.25.</t>
    </r>
    <r>
      <rPr>
        <sz val="11"/>
        <color theme="1"/>
        <rFont val="Calibri"/>
        <family val="2"/>
        <scheme val="minor"/>
      </rPr>
      <t xml:space="preserve"> Total general de contratos de formalización minera</t>
    </r>
  </si>
  <si>
    <r>
      <t>46.26.</t>
    </r>
    <r>
      <rPr>
        <sz val="11"/>
        <color theme="1"/>
        <rFont val="Calibri"/>
        <family val="2"/>
        <scheme val="minor"/>
      </rPr>
      <t xml:space="preserve"> Total general de beneficiarios directos</t>
    </r>
  </si>
  <si>
    <r>
      <t>46.27.</t>
    </r>
    <r>
      <rPr>
        <sz val="11"/>
        <color theme="1"/>
        <rFont val="Calibri"/>
        <family val="2"/>
        <scheme val="minor"/>
      </rPr>
      <t xml:space="preserve"> Total general de beneficiarios indirectos</t>
    </r>
  </si>
  <si>
    <t>46.28.%𝐸𝐹𝑀𝑆𝐿</t>
  </si>
  <si>
    <t>46.29.%𝐸𝐹𝑀𝐴𝑅𝐸</t>
  </si>
  <si>
    <t>46.30.%𝐸𝐹𝑀𝑆𝐹𝑀</t>
  </si>
  <si>
    <t>46.31.%𝐸𝐹𝑀𝐶𝐶𝐷</t>
  </si>
  <si>
    <t>Interpretación eficiencia consecución de procesos de formalización minera y puntaje de ponderación del índice de gobernanza</t>
  </si>
  <si>
    <t>Resultados e Interpretación del porcentaje de superposición de áreas con la ponderación del índice de gobernanza año 2024</t>
  </si>
  <si>
    <t>47.Áreas recuperadas por gestión y control a la explotación ilegal de minerales</t>
  </si>
  <si>
    <r>
      <t>47.1.</t>
    </r>
    <r>
      <rPr>
        <sz val="11"/>
        <color theme="1"/>
        <rFont val="Calibri"/>
        <family val="2"/>
        <scheme val="minor"/>
      </rPr>
      <t xml:space="preserve"> Área en hectáreas de explotación de oro de aluvión con permisos técnicos y/o ambientales (2021)</t>
    </r>
  </si>
  <si>
    <r>
      <t>47.2.</t>
    </r>
    <r>
      <rPr>
        <sz val="11"/>
        <color theme="1"/>
        <rFont val="Calibri"/>
        <family val="2"/>
        <scheme val="minor"/>
      </rPr>
      <t xml:space="preserve"> Área en hectáreas de explotación de oro de aluvión con permisos técnicos y/o ambientales (2022)</t>
    </r>
  </si>
  <si>
    <r>
      <t>47.3.</t>
    </r>
    <r>
      <rPr>
        <sz val="11"/>
        <color theme="1"/>
        <rFont val="Calibri"/>
        <family val="2"/>
        <scheme val="minor"/>
      </rPr>
      <t xml:space="preserve"> Área en hectáreas de explotación de oro de aluvión en tránsito a la legalidad (2021)</t>
    </r>
  </si>
  <si>
    <r>
      <t>47.4.</t>
    </r>
    <r>
      <rPr>
        <sz val="11"/>
        <color theme="1"/>
        <rFont val="Calibri"/>
        <family val="2"/>
        <scheme val="minor"/>
      </rPr>
      <t xml:space="preserve"> Área en hectáreas de explotación de oro de aluvión en tránsito a la legalidad (2022)</t>
    </r>
  </si>
  <si>
    <r>
      <t>47.5.</t>
    </r>
    <r>
      <rPr>
        <sz val="11"/>
        <color theme="1"/>
        <rFont val="Calibri"/>
        <family val="2"/>
        <scheme val="minor"/>
      </rPr>
      <t xml:space="preserve"> Área en hectáreas de explotación de oro de aluvión ilícita (2021)</t>
    </r>
  </si>
  <si>
    <r>
      <t>47.6.</t>
    </r>
    <r>
      <rPr>
        <sz val="11"/>
        <color theme="1"/>
        <rFont val="Calibri"/>
        <family val="2"/>
        <scheme val="minor"/>
      </rPr>
      <t xml:space="preserve"> Área en hectáreas de explotación de oro de aluvión ilícita (2022)</t>
    </r>
  </si>
  <si>
    <t>47.7.%𝐸𝑉𝑂𝐴𝑃𝑇𝐴−2022</t>
  </si>
  <si>
    <t>47.8.%𝐸𝑉𝑂𝐴𝑇𝐿−2022</t>
  </si>
  <si>
    <t>47.9%𝐸𝑉𝑂𝐴𝐼𝐿−2022</t>
  </si>
  <si>
    <t>Ponderación resultados año 2022</t>
  </si>
  <si>
    <t>48.Variación del Consumo de Energía Eléctrica en el país.</t>
  </si>
  <si>
    <t>48.1. Consumo total de energía año 2022 regulado (GWh)</t>
  </si>
  <si>
    <t>48.2. Consumo total de energía año 2022 no regulado (GWh)</t>
  </si>
  <si>
    <t>48.3. Consumo total de energía año 2022 (GWh)</t>
  </si>
  <si>
    <t>48.1. Consumo total de energía año 2023 regulado (GWh)</t>
  </si>
  <si>
    <t>48.2. Consumo total de energía año 2023 no regulado (GWh)</t>
  </si>
  <si>
    <t>48.3. Consumo total de energía año 2023 (GWh)</t>
  </si>
  <si>
    <t>Categorización del indicador.</t>
  </si>
  <si>
    <t>49.Variación en el nivel de pobreza energética multidimensional nacional.</t>
  </si>
  <si>
    <t>49.2.PE2022</t>
  </si>
  <si>
    <t>49.1.PE2023</t>
  </si>
  <si>
    <t>50.Variación en la cobertura en el acceso al servicio de energía eléctrica en el país.</t>
  </si>
  <si>
    <t>50.1.VT: Es el número de viviendas totales</t>
  </si>
  <si>
    <t>50.2. VCS: Es el número de viviendas con servicio</t>
  </si>
  <si>
    <t>Categorización Indicador.</t>
  </si>
  <si>
    <t>51.Porcentaje de Informes de Sostenibilidad anuales publicados por empresas generadoras del país.</t>
  </si>
  <si>
    <t>50.3.𝐼𝐶𝐸𝐸</t>
  </si>
  <si>
    <t>50.4.ICEE2022</t>
  </si>
  <si>
    <t>51.1. Egeneradoras Pub IS Empresas Generadoras, del universo de estudio, publicaron el informe de sostenibilidad del año 2023.</t>
  </si>
  <si>
    <t>51.2.Egeneradoras (Unv) Empresas Generadoras son el Universo de estudio definido.</t>
  </si>
  <si>
    <t>Columna1</t>
  </si>
  <si>
    <t>Promedio de Porcentaje alcanzado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</si>
</sst>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6" formatCode="&quot;$&quot;\ #,##0;[Red]\-&quot;$&quot;\ #,##0"/>
    <numFmt numFmtId="8" formatCode="&quot;$&quot;\ #,##0.00;[Red]\-&quot;$&quot;\ #,##0.0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0.0"/>
    <numFmt numFmtId="165" formatCode="0.0%"/>
    <numFmt numFmtId="166" formatCode="0.000"/>
    <numFmt numFmtId="167" formatCode="0.00000"/>
    <numFmt numFmtId="168" formatCode="#,##0.00000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Arial"/>
      <family val="2"/>
    </font>
    <font>
      <i/>
      <sz val="10"/>
      <name val="Arial"/>
      <family val="2"/>
    </font>
    <font>
      <i/>
      <sz val="8"/>
      <name val="Arial"/>
      <family val="2"/>
    </font>
    <font>
      <b/>
      <i/>
      <sz val="10"/>
      <name val="Arial"/>
      <family val="2"/>
    </font>
    <font>
      <sz val="11"/>
      <color theme="1"/>
      <name val="Aptos Narrow"/>
      <family val="2"/>
    </font>
    <font>
      <u/>
      <sz val="11"/>
      <color theme="10"/>
      <name val="Calibri"/>
      <family val="2"/>
      <scheme val="minor"/>
    </font>
    <font>
      <sz val="11"/>
      <color rgb="FFFF0000"/>
      <name val="Arial Narrow"/>
      <family val="2"/>
    </font>
    <font>
      <sz val="11"/>
      <name val="Calibri"/>
      <family val="2"/>
      <scheme val="minor"/>
    </font>
    <font>
      <b/>
      <sz val="11"/>
      <name val="Arial Narrow"/>
      <family val="2"/>
    </font>
    <font>
      <b/>
      <sz val="11"/>
      <name val="Calibri"/>
      <family val="2"/>
      <scheme val="minor"/>
    </font>
    <font>
      <u/>
      <sz val="11"/>
      <color rgb="FFFF0000"/>
      <name val="Arial Narrow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theme="9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theme="4" tint="0.39997558519241921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1" fillId="0" borderId="0"/>
    <xf numFmtId="0" fontId="8" fillId="0" borderId="0" applyNumberForma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63">
    <xf numFmtId="0" fontId="0" fillId="0" borderId="0" xfId="0"/>
    <xf numFmtId="0" fontId="1" fillId="0" borderId="0" xfId="2" applyAlignment="1">
      <alignment horizontal="center"/>
    </xf>
    <xf numFmtId="0" fontId="4" fillId="2" borderId="1" xfId="2" applyFont="1" applyFill="1" applyBorder="1" applyAlignment="1">
      <alignment horizontal="center" vertical="center" wrapText="1"/>
    </xf>
    <xf numFmtId="0" fontId="5" fillId="0" borderId="0" xfId="2" applyFont="1" applyAlignment="1">
      <alignment horizontal="center" vertical="center" wrapText="1"/>
    </xf>
    <xf numFmtId="0" fontId="3" fillId="0" borderId="0" xfId="2" applyFont="1" applyAlignment="1">
      <alignment horizontal="center" vertical="center" wrapText="1"/>
    </xf>
    <xf numFmtId="0" fontId="6" fillId="0" borderId="0" xfId="2" applyFont="1" applyAlignment="1">
      <alignment horizontal="center" vertical="center" wrapText="1"/>
    </xf>
    <xf numFmtId="0" fontId="1" fillId="0" borderId="0" xfId="2" applyAlignment="1">
      <alignment horizontal="center" vertical="center"/>
    </xf>
    <xf numFmtId="0" fontId="1" fillId="0" borderId="0" xfId="2"/>
    <xf numFmtId="0" fontId="1" fillId="0" borderId="0" xfId="2" applyAlignment="1">
      <alignment wrapText="1"/>
    </xf>
    <xf numFmtId="0" fontId="7" fillId="0" borderId="0" xfId="2" applyFont="1" applyAlignment="1">
      <alignment horizontal="center" vertical="center"/>
    </xf>
    <xf numFmtId="1" fontId="7" fillId="0" borderId="0" xfId="2" applyNumberFormat="1" applyFont="1" applyAlignment="1">
      <alignment horizontal="center" vertical="center"/>
    </xf>
    <xf numFmtId="0" fontId="1" fillId="0" borderId="0" xfId="2" applyAlignment="1">
      <alignment vertical="center"/>
    </xf>
    <xf numFmtId="164" fontId="1" fillId="0" borderId="0" xfId="2" applyNumberFormat="1" applyAlignment="1">
      <alignment vertical="center"/>
    </xf>
    <xf numFmtId="2" fontId="1" fillId="0" borderId="0" xfId="2" applyNumberFormat="1" applyAlignment="1">
      <alignment vertical="center"/>
    </xf>
    <xf numFmtId="0" fontId="1" fillId="0" borderId="0" xfId="2" applyAlignment="1">
      <alignment horizontal="center" vertical="center" wrapText="1"/>
    </xf>
    <xf numFmtId="0" fontId="0" fillId="0" borderId="0" xfId="0" applyAlignment="1">
      <alignment wrapText="1"/>
    </xf>
    <xf numFmtId="0" fontId="1" fillId="0" borderId="0" xfId="2" applyAlignment="1">
      <alignment horizontal="right" vertical="center"/>
    </xf>
    <xf numFmtId="2" fontId="1" fillId="0" borderId="0" xfId="2" applyNumberFormat="1" applyAlignment="1">
      <alignment horizontal="right" vertical="center"/>
    </xf>
    <xf numFmtId="1" fontId="7" fillId="0" borderId="0" xfId="2" applyNumberFormat="1" applyFont="1" applyAlignment="1">
      <alignment horizontal="right" vertical="center"/>
    </xf>
    <xf numFmtId="0" fontId="1" fillId="0" borderId="0" xfId="2" applyAlignment="1">
      <alignment horizontal="right" vertical="center" wrapText="1"/>
    </xf>
    <xf numFmtId="0" fontId="8" fillId="0" borderId="0" xfId="3"/>
    <xf numFmtId="0" fontId="0" fillId="2" borderId="0" xfId="0" applyFill="1" applyAlignment="1">
      <alignment horizontal="center" vertical="center"/>
    </xf>
    <xf numFmtId="0" fontId="0" fillId="0" borderId="6" xfId="0" applyBorder="1" applyAlignment="1">
      <alignment horizontal="center" vertical="top"/>
    </xf>
    <xf numFmtId="0" fontId="0" fillId="0" borderId="7" xfId="0" applyBorder="1" applyAlignment="1">
      <alignment horizontal="center" vertical="top" wrapText="1"/>
    </xf>
    <xf numFmtId="0" fontId="0" fillId="0" borderId="7" xfId="0" applyBorder="1" applyAlignment="1">
      <alignment horizontal="center" vertical="top"/>
    </xf>
    <xf numFmtId="1" fontId="0" fillId="0" borderId="7" xfId="0" applyNumberFormat="1" applyBorder="1" applyAlignment="1">
      <alignment horizontal="center" vertical="top"/>
    </xf>
    <xf numFmtId="164" fontId="0" fillId="0" borderId="7" xfId="0" applyNumberFormat="1" applyBorder="1" applyAlignment="1">
      <alignment horizontal="center" vertical="top"/>
    </xf>
    <xf numFmtId="164" fontId="9" fillId="0" borderId="7" xfId="0" applyNumberFormat="1" applyFont="1" applyBorder="1" applyAlignment="1">
      <alignment horizontal="center" vertical="top"/>
    </xf>
    <xf numFmtId="0" fontId="10" fillId="2" borderId="0" xfId="0" applyFont="1" applyFill="1" applyAlignment="1">
      <alignment horizontal="center" vertical="center"/>
    </xf>
    <xf numFmtId="0" fontId="10" fillId="0" borderId="0" xfId="0" applyFont="1"/>
    <xf numFmtId="164" fontId="0" fillId="0" borderId="0" xfId="0" applyNumberFormat="1"/>
    <xf numFmtId="1" fontId="0" fillId="0" borderId="0" xfId="0" applyNumberFormat="1"/>
    <xf numFmtId="165" fontId="0" fillId="0" borderId="7" xfId="1" applyNumberFormat="1" applyFont="1" applyFill="1" applyBorder="1" applyAlignment="1">
      <alignment horizontal="center" vertical="top"/>
    </xf>
    <xf numFmtId="0" fontId="11" fillId="3" borderId="4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 vertical="center" wrapText="1"/>
    </xf>
    <xf numFmtId="0" fontId="10" fillId="2" borderId="0" xfId="0" applyFont="1" applyFill="1"/>
    <xf numFmtId="0" fontId="12" fillId="2" borderId="0" xfId="0" applyFont="1" applyFill="1" applyAlignment="1">
      <alignment wrapText="1"/>
    </xf>
    <xf numFmtId="0" fontId="13" fillId="0" borderId="0" xfId="3" applyFont="1"/>
    <xf numFmtId="1" fontId="0" fillId="0" borderId="8" xfId="1" applyNumberFormat="1" applyFont="1" applyFill="1" applyBorder="1" applyAlignment="1">
      <alignment horizontal="center" vertical="top"/>
    </xf>
    <xf numFmtId="0" fontId="5" fillId="2" borderId="0" xfId="2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4" borderId="0" xfId="0" applyFill="1"/>
    <xf numFmtId="0" fontId="0" fillId="4" borderId="6" xfId="0" applyFill="1" applyBorder="1" applyAlignment="1">
      <alignment horizontal="center" vertical="top"/>
    </xf>
    <xf numFmtId="0" fontId="0" fillId="4" borderId="7" xfId="0" applyFill="1" applyBorder="1" applyAlignment="1">
      <alignment horizontal="center" vertical="top" wrapText="1"/>
    </xf>
    <xf numFmtId="0" fontId="0" fillId="4" borderId="7" xfId="0" applyFill="1" applyBorder="1" applyAlignment="1">
      <alignment horizontal="center" vertical="top"/>
    </xf>
    <xf numFmtId="164" fontId="0" fillId="4" borderId="7" xfId="0" applyNumberFormat="1" applyFill="1" applyBorder="1" applyAlignment="1">
      <alignment horizontal="center" vertical="top"/>
    </xf>
    <xf numFmtId="1" fontId="0" fillId="4" borderId="8" xfId="1" applyNumberFormat="1" applyFont="1" applyFill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4" fontId="0" fillId="0" borderId="0" xfId="1" applyNumberFormat="1" applyFont="1"/>
    <xf numFmtId="0" fontId="15" fillId="0" borderId="1" xfId="0" applyFont="1" applyBorder="1" applyAlignment="1">
      <alignment horizontal="center" vertical="center"/>
    </xf>
    <xf numFmtId="9" fontId="15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9" fontId="0" fillId="0" borderId="1" xfId="1" applyFon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15" fillId="2" borderId="1" xfId="0" applyFont="1" applyFill="1" applyBorder="1" applyAlignment="1">
      <alignment horizontal="center"/>
    </xf>
    <xf numFmtId="0" fontId="15" fillId="2" borderId="1" xfId="0" applyFont="1" applyFill="1" applyBorder="1" applyAlignment="1">
      <alignment horizontal="center" vertical="center"/>
    </xf>
    <xf numFmtId="0" fontId="15" fillId="2" borderId="0" xfId="0" applyFont="1" applyFill="1"/>
    <xf numFmtId="0" fontId="0" fillId="0" borderId="1" xfId="0" applyBorder="1" applyAlignment="1">
      <alignment horizontal="center" vertical="center"/>
    </xf>
    <xf numFmtId="9" fontId="0" fillId="0" borderId="1" xfId="1" applyFont="1" applyBorder="1" applyAlignment="1">
      <alignment horizontal="center" vertical="center"/>
    </xf>
    <xf numFmtId="0" fontId="0" fillId="5" borderId="0" xfId="0" applyFill="1"/>
    <xf numFmtId="0" fontId="0" fillId="5" borderId="0" xfId="0" applyFill="1" applyAlignment="1">
      <alignment wrapText="1"/>
    </xf>
    <xf numFmtId="0" fontId="0" fillId="6" borderId="0" xfId="0" applyFill="1"/>
    <xf numFmtId="2" fontId="0" fillId="6" borderId="0" xfId="0" applyNumberFormat="1" applyFill="1"/>
    <xf numFmtId="2" fontId="1" fillId="0" borderId="0" xfId="2" applyNumberFormat="1" applyAlignment="1">
      <alignment horizontal="center"/>
    </xf>
    <xf numFmtId="1" fontId="1" fillId="0" borderId="0" xfId="2" applyNumberFormat="1" applyAlignment="1">
      <alignment horizontal="center"/>
    </xf>
    <xf numFmtId="0" fontId="1" fillId="6" borderId="0" xfId="2" applyFill="1"/>
    <xf numFmtId="0" fontId="1" fillId="6" borderId="0" xfId="2" applyFill="1" applyAlignment="1">
      <alignment wrapText="1"/>
    </xf>
    <xf numFmtId="0" fontId="1" fillId="6" borderId="0" xfId="2" applyFill="1" applyAlignment="1">
      <alignment horizontal="center"/>
    </xf>
    <xf numFmtId="0" fontId="7" fillId="6" borderId="0" xfId="2" applyFont="1" applyFill="1" applyAlignment="1">
      <alignment horizontal="center" vertical="center"/>
    </xf>
    <xf numFmtId="2" fontId="1" fillId="6" borderId="0" xfId="2" applyNumberFormat="1" applyFill="1" applyAlignment="1">
      <alignment horizontal="center"/>
    </xf>
    <xf numFmtId="0" fontId="0" fillId="6" borderId="0" xfId="2" applyFont="1" applyFill="1" applyAlignment="1">
      <alignment horizontal="left" vertical="top"/>
    </xf>
    <xf numFmtId="164" fontId="1" fillId="5" borderId="0" xfId="2" applyNumberFormat="1" applyFill="1" applyAlignment="1">
      <alignment horizontal="right" vertical="center"/>
    </xf>
    <xf numFmtId="0" fontId="1" fillId="5" borderId="0" xfId="2" applyFill="1" applyAlignment="1">
      <alignment vertical="center"/>
    </xf>
    <xf numFmtId="0" fontId="1" fillId="5" borderId="0" xfId="2" applyFill="1" applyAlignment="1">
      <alignment horizontal="center" wrapText="1"/>
    </xf>
    <xf numFmtId="0" fontId="1" fillId="5" borderId="0" xfId="2" applyFill="1" applyAlignment="1">
      <alignment horizontal="right" vertical="center"/>
    </xf>
    <xf numFmtId="2" fontId="1" fillId="5" borderId="0" xfId="2" applyNumberFormat="1" applyFill="1" applyAlignment="1">
      <alignment horizontal="right" vertical="center"/>
    </xf>
    <xf numFmtId="0" fontId="1" fillId="5" borderId="0" xfId="2" applyFill="1" applyAlignment="1">
      <alignment horizontal="center" vertical="center"/>
    </xf>
    <xf numFmtId="0" fontId="0" fillId="0" borderId="9" xfId="0" applyBorder="1"/>
    <xf numFmtId="0" fontId="1" fillId="0" borderId="0" xfId="2" applyAlignment="1">
      <alignment horizontal="center" wrapText="1"/>
    </xf>
    <xf numFmtId="0" fontId="1" fillId="5" borderId="0" xfId="2" applyFill="1"/>
    <xf numFmtId="2" fontId="0" fillId="0" borderId="0" xfId="0" applyNumberFormat="1"/>
    <xf numFmtId="2" fontId="1" fillId="0" borderId="0" xfId="2" applyNumberFormat="1"/>
    <xf numFmtId="164" fontId="2" fillId="0" borderId="7" xfId="0" applyNumberFormat="1" applyFont="1" applyBorder="1" applyAlignment="1">
      <alignment horizontal="center" vertical="top"/>
    </xf>
    <xf numFmtId="2" fontId="15" fillId="6" borderId="0" xfId="2" applyNumberFormat="1" applyFont="1" applyFill="1" applyAlignment="1">
      <alignment horizontal="center"/>
    </xf>
    <xf numFmtId="2" fontId="10" fillId="0" borderId="7" xfId="0" applyNumberFormat="1" applyFont="1" applyBorder="1" applyAlignment="1">
      <alignment horizontal="center" vertical="top"/>
    </xf>
    <xf numFmtId="0" fontId="15" fillId="6" borderId="0" xfId="2" applyFont="1" applyFill="1"/>
    <xf numFmtId="0" fontId="10" fillId="0" borderId="0" xfId="2" applyFont="1" applyAlignment="1">
      <alignment horizontal="right" vertical="center"/>
    </xf>
    <xf numFmtId="2" fontId="10" fillId="0" borderId="0" xfId="2" applyNumberFormat="1" applyFont="1" applyAlignment="1">
      <alignment horizontal="right" vertical="center"/>
    </xf>
    <xf numFmtId="0" fontId="5" fillId="0" borderId="0" xfId="2" applyFont="1" applyAlignment="1">
      <alignment horizontal="center" vertical="center"/>
    </xf>
    <xf numFmtId="166" fontId="1" fillId="6" borderId="0" xfId="2" applyNumberFormat="1" applyFill="1" applyAlignment="1">
      <alignment horizontal="center"/>
    </xf>
    <xf numFmtId="44" fontId="0" fillId="0" borderId="0" xfId="5" applyFont="1"/>
    <xf numFmtId="8" fontId="0" fillId="0" borderId="0" xfId="5" applyNumberFormat="1" applyFont="1"/>
    <xf numFmtId="0" fontId="15" fillId="0" borderId="0" xfId="0" applyFont="1"/>
    <xf numFmtId="8" fontId="1" fillId="0" borderId="0" xfId="5" applyNumberFormat="1" applyFont="1"/>
    <xf numFmtId="8" fontId="15" fillId="0" borderId="0" xfId="5" applyNumberFormat="1" applyFont="1"/>
    <xf numFmtId="44" fontId="0" fillId="6" borderId="0" xfId="5" applyFont="1" applyFill="1"/>
    <xf numFmtId="0" fontId="15" fillId="6" borderId="0" xfId="0" applyFont="1" applyFill="1"/>
    <xf numFmtId="44" fontId="15" fillId="6" borderId="0" xfId="5" applyFont="1" applyFill="1"/>
    <xf numFmtId="44" fontId="1" fillId="0" borderId="0" xfId="5"/>
    <xf numFmtId="44" fontId="15" fillId="0" borderId="0" xfId="5" applyFont="1"/>
    <xf numFmtId="6" fontId="1" fillId="0" borderId="0" xfId="2" applyNumberFormat="1"/>
    <xf numFmtId="0" fontId="10" fillId="6" borderId="0" xfId="0" applyFont="1" applyFill="1"/>
    <xf numFmtId="44" fontId="10" fillId="6" borderId="0" xfId="5" applyFont="1" applyFill="1"/>
    <xf numFmtId="0" fontId="10" fillId="6" borderId="0" xfId="2" applyFont="1" applyFill="1"/>
    <xf numFmtId="0" fontId="0" fillId="0" borderId="0" xfId="0" applyAlignment="1">
      <alignment horizontal="left" indent="2"/>
    </xf>
    <xf numFmtId="0" fontId="0" fillId="0" borderId="0" xfId="5" applyNumberFormat="1" applyFont="1"/>
    <xf numFmtId="43" fontId="0" fillId="0" borderId="0" xfId="4" applyFont="1"/>
    <xf numFmtId="43" fontId="0" fillId="0" borderId="0" xfId="4" applyFont="1" applyFill="1"/>
    <xf numFmtId="0" fontId="15" fillId="6" borderId="10" xfId="0" applyFont="1" applyFill="1" applyBorder="1" applyAlignment="1">
      <alignment horizontal="left"/>
    </xf>
    <xf numFmtId="0" fontId="15" fillId="6" borderId="10" xfId="0" applyFont="1" applyFill="1" applyBorder="1"/>
    <xf numFmtId="0" fontId="15" fillId="6" borderId="0" xfId="0" applyFont="1" applyFill="1" applyAlignment="1">
      <alignment horizontal="left" indent="1"/>
    </xf>
    <xf numFmtId="43" fontId="15" fillId="6" borderId="0" xfId="4" applyFont="1" applyFill="1" applyAlignment="1">
      <alignment horizontal="left" indent="1"/>
    </xf>
    <xf numFmtId="43" fontId="0" fillId="6" borderId="0" xfId="4" applyFont="1" applyFill="1"/>
    <xf numFmtId="43" fontId="15" fillId="6" borderId="0" xfId="4" applyFont="1" applyFill="1"/>
    <xf numFmtId="0" fontId="0" fillId="5" borderId="6" xfId="0" applyFill="1" applyBorder="1" applyAlignment="1">
      <alignment horizontal="center" vertical="top"/>
    </xf>
    <xf numFmtId="0" fontId="0" fillId="5" borderId="7" xfId="0" applyFill="1" applyBorder="1" applyAlignment="1">
      <alignment horizontal="center" vertical="top" wrapText="1"/>
    </xf>
    <xf numFmtId="0" fontId="0" fillId="5" borderId="7" xfId="0" applyFill="1" applyBorder="1" applyAlignment="1">
      <alignment horizontal="center" vertical="top"/>
    </xf>
    <xf numFmtId="164" fontId="0" fillId="5" borderId="7" xfId="0" applyNumberFormat="1" applyFill="1" applyBorder="1" applyAlignment="1">
      <alignment horizontal="center" vertical="top"/>
    </xf>
    <xf numFmtId="1" fontId="0" fillId="5" borderId="7" xfId="0" applyNumberFormat="1" applyFill="1" applyBorder="1" applyAlignment="1">
      <alignment horizontal="center" vertical="top"/>
    </xf>
    <xf numFmtId="1" fontId="0" fillId="5" borderId="8" xfId="1" applyNumberFormat="1" applyFont="1" applyFill="1" applyBorder="1" applyAlignment="1">
      <alignment horizontal="center" vertical="top"/>
    </xf>
    <xf numFmtId="0" fontId="10" fillId="2" borderId="0" xfId="0" applyFont="1" applyFill="1" applyAlignment="1">
      <alignment horizontal="center" vertical="center" wrapText="1"/>
    </xf>
    <xf numFmtId="0" fontId="0" fillId="7" borderId="0" xfId="0" applyFill="1"/>
    <xf numFmtId="164" fontId="1" fillId="7" borderId="0" xfId="2" applyNumberFormat="1" applyFill="1" applyAlignment="1">
      <alignment vertical="center"/>
    </xf>
    <xf numFmtId="0" fontId="1" fillId="7" borderId="0" xfId="2" applyFill="1"/>
    <xf numFmtId="0" fontId="1" fillId="7" borderId="0" xfId="2" applyFill="1" applyAlignment="1">
      <alignment horizontal="center" vertical="center"/>
    </xf>
    <xf numFmtId="0" fontId="1" fillId="7" borderId="0" xfId="2" applyFill="1" applyAlignment="1">
      <alignment vertical="center"/>
    </xf>
    <xf numFmtId="0" fontId="0" fillId="0" borderId="0" xfId="0" applyAlignment="1">
      <alignment vertical="center" wrapText="1"/>
    </xf>
    <xf numFmtId="0" fontId="0" fillId="6" borderId="0" xfId="0" applyFill="1" applyAlignment="1">
      <alignment vertical="center" wrapText="1"/>
    </xf>
    <xf numFmtId="166" fontId="1" fillId="6" borderId="0" xfId="2" applyNumberFormat="1" applyFill="1"/>
    <xf numFmtId="0" fontId="0" fillId="4" borderId="0" xfId="0" applyFill="1" applyAlignment="1">
      <alignment vertical="center" wrapText="1"/>
    </xf>
    <xf numFmtId="167" fontId="10" fillId="0" borderId="7" xfId="0" applyNumberFormat="1" applyFont="1" applyBorder="1" applyAlignment="1">
      <alignment horizontal="center" vertical="top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167" fontId="10" fillId="5" borderId="7" xfId="0" applyNumberFormat="1" applyFont="1" applyFill="1" applyBorder="1" applyAlignment="1">
      <alignment horizontal="center" vertical="top"/>
    </xf>
    <xf numFmtId="0" fontId="0" fillId="2" borderId="6" xfId="0" applyFill="1" applyBorder="1" applyAlignment="1">
      <alignment horizontal="center" vertical="top"/>
    </xf>
    <xf numFmtId="0" fontId="0" fillId="2" borderId="7" xfId="0" applyFill="1" applyBorder="1" applyAlignment="1">
      <alignment horizontal="center" vertical="top" wrapText="1"/>
    </xf>
    <xf numFmtId="0" fontId="0" fillId="2" borderId="7" xfId="0" applyFill="1" applyBorder="1" applyAlignment="1">
      <alignment horizontal="center" vertical="top"/>
    </xf>
    <xf numFmtId="2" fontId="10" fillId="2" borderId="7" xfId="0" applyNumberFormat="1" applyFont="1" applyFill="1" applyBorder="1" applyAlignment="1">
      <alignment horizontal="center" vertical="top"/>
    </xf>
    <xf numFmtId="164" fontId="0" fillId="2" borderId="7" xfId="0" applyNumberFormat="1" applyFill="1" applyBorder="1" applyAlignment="1">
      <alignment horizontal="center" vertical="top"/>
    </xf>
    <xf numFmtId="1" fontId="0" fillId="2" borderId="7" xfId="0" applyNumberFormat="1" applyFill="1" applyBorder="1" applyAlignment="1">
      <alignment horizontal="center" vertical="top"/>
    </xf>
    <xf numFmtId="1" fontId="0" fillId="2" borderId="8" xfId="1" applyNumberFormat="1" applyFont="1" applyFill="1" applyBorder="1" applyAlignment="1">
      <alignment horizontal="center" vertical="top"/>
    </xf>
    <xf numFmtId="164" fontId="0" fillId="5" borderId="0" xfId="0" applyNumberFormat="1" applyFill="1"/>
    <xf numFmtId="0" fontId="0" fillId="6" borderId="0" xfId="0" applyFill="1" applyAlignment="1">
      <alignment horizontal="left" vertical="top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left" vertical="center"/>
    </xf>
    <xf numFmtId="0" fontId="0" fillId="6" borderId="0" xfId="0" applyFill="1" applyAlignment="1">
      <alignment horizontal="left"/>
    </xf>
    <xf numFmtId="0" fontId="15" fillId="0" borderId="0" xfId="0" applyFont="1" applyAlignment="1">
      <alignment vertical="center" wrapText="1"/>
    </xf>
    <xf numFmtId="0" fontId="15" fillId="6" borderId="0" xfId="0" applyFont="1" applyFill="1" applyAlignment="1">
      <alignment vertical="center" wrapText="1"/>
    </xf>
    <xf numFmtId="0" fontId="15" fillId="6" borderId="0" xfId="0" applyFont="1" applyFill="1" applyAlignment="1">
      <alignment vertical="center"/>
    </xf>
    <xf numFmtId="0" fontId="2" fillId="0" borderId="0" xfId="0" applyFont="1"/>
    <xf numFmtId="0" fontId="0" fillId="6" borderId="0" xfId="0" applyFill="1" applyAlignment="1">
      <alignment vertical="center"/>
    </xf>
    <xf numFmtId="168" fontId="0" fillId="0" borderId="0" xfId="0" applyNumberFormat="1"/>
    <xf numFmtId="1" fontId="0" fillId="4" borderId="0" xfId="0" applyNumberFormat="1" applyFill="1"/>
    <xf numFmtId="0" fontId="3" fillId="2" borderId="3" xfId="2" applyFont="1" applyFill="1" applyBorder="1" applyAlignment="1">
      <alignment horizontal="center" vertical="center" wrapText="1"/>
    </xf>
    <xf numFmtId="0" fontId="3" fillId="2" borderId="2" xfId="2" applyFont="1" applyFill="1" applyBorder="1" applyAlignment="1">
      <alignment horizontal="center" vertical="center" wrapText="1"/>
    </xf>
    <xf numFmtId="0" fontId="3" fillId="2" borderId="1" xfId="2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1" fillId="0" borderId="0" xfId="2" applyAlignment="1">
      <alignment horizontal="center"/>
    </xf>
    <xf numFmtId="0" fontId="15" fillId="2" borderId="1" xfId="0" applyFont="1" applyFill="1" applyBorder="1" applyAlignment="1">
      <alignment horizontal="center" vertical="center"/>
    </xf>
    <xf numFmtId="164" fontId="16" fillId="5" borderId="7" xfId="0" applyNumberFormat="1" applyFont="1" applyFill="1" applyBorder="1" applyAlignment="1">
      <alignment horizontal="center" vertical="top"/>
    </xf>
  </cellXfs>
  <cellStyles count="6">
    <cellStyle name="Hipervínculo" xfId="3" builtinId="8"/>
    <cellStyle name="Millares" xfId="4" builtinId="3"/>
    <cellStyle name="Moneda" xfId="5" builtinId="4"/>
    <cellStyle name="Normal" xfId="0" builtinId="0"/>
    <cellStyle name="Normal 2" xfId="2" xr:uid="{F2C737AB-3CE9-4B71-9CC8-6F1F94E7385F}"/>
    <cellStyle name="Porcentaje" xfId="1" builtinId="5"/>
  </cellStyles>
  <dxfs count="37">
    <dxf>
      <numFmt numFmtId="1" formatCode="0"/>
    </dxf>
    <dxf>
      <numFmt numFmtId="1" formatCode="0"/>
    </dxf>
    <dxf>
      <numFmt numFmtId="1" formatCode="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numFmt numFmtId="1" formatCode="0"/>
      <alignment horizontal="center" vertical="top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numFmt numFmtId="1" formatCode="0"/>
      <alignment horizontal="center" vertical="top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0.0%"/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alignment horizontal="center" vertical="top"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alignment horizontal="center" vertical="top"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alignment horizontal="center" vertical="top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alignment horizontal="center" vertical="top"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alignment horizontal="center" vertical="top" textRotation="0" wrapText="0" indent="0" justifyLastLine="0" shrinkToFit="0" readingOrder="0"/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general" vertical="bottom" textRotation="0" wrapText="1" indent="0" justifyLastLine="0" shrinkToFit="0" readingOrder="0"/>
    </dxf>
    <dxf>
      <numFmt numFmtId="164" formatCode="0.0"/>
      <alignment horizontal="center" vertical="top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numFmt numFmtId="0" formatCode="General"/>
      <alignment horizontal="center" vertical="top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numFmt numFmtId="164" formatCode="0.0"/>
      <alignment horizontal="center" vertical="top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numFmt numFmtId="164" formatCode="0.0"/>
      <alignment horizontal="center" vertical="top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numFmt numFmtId="164" formatCode="0.0"/>
      <alignment horizontal="center" vertical="top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numFmt numFmtId="1" formatCode="0"/>
      <alignment horizontal="center" vertical="top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numFmt numFmtId="1" formatCode="0"/>
      <alignment horizontal="center" vertical="top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numFmt numFmtId="1" formatCode="0"/>
      <alignment horizontal="center" vertical="top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numFmt numFmtId="1" formatCode="0"/>
      <alignment horizontal="center" vertical="top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numFmt numFmtId="1" formatCode="0"/>
      <alignment horizontal="center" vertical="top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numFmt numFmtId="1" formatCode="0"/>
      <alignment horizontal="center" vertical="top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alignment horizontal="center" vertical="top"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alignment horizontal="center" vertical="top"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alignment horizontal="center" vertical="top"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alignment horizontal="center" vertical="top"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alignment horizontal="center" vertical="top"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alignment horizontal="center" vertical="top"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alignment horizontal="center" vertical="top"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alignment horizontal="center" vertical="top"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alignment horizontal="center" vertical="top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alignment horizontal="center" vertical="top"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alignment horizontal="center" vertical="top" textRotation="0" wrapText="0" indent="0" justifyLastLine="0" shrinkToFit="0" readingOrder="0"/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minenergiacol-my.sharepoint.com/personal/ancasallas_minenergia_gov_co/Documents/ANEXO%20II_V2.xlsx" TargetMode="External"/><Relationship Id="rId1" Type="http://schemas.openxmlformats.org/officeDocument/2006/relationships/externalLinkPath" Target="https://minenergiacol-my.sharepoint.com/personal/ancasallas_minenergia_gov_co/Documents/ANEXO%20II_V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stas"/>
      <sheetName val="Responsables "/>
      <sheetName val="variables indicadores"/>
      <sheetName val="Calificación de dimensiones"/>
      <sheetName val="Criterios"/>
      <sheetName val="Calificación de indicadores"/>
      <sheetName val="Ponderación"/>
      <sheetName val="Resultados"/>
      <sheetName val="TD"/>
    </sheetNames>
    <sheetDataSet>
      <sheetData sheetId="0">
        <row r="2">
          <cell r="A2" t="str">
            <v>Normativa</v>
          </cell>
          <cell r="M2" t="str">
            <v>Energía</v>
          </cell>
        </row>
        <row r="3">
          <cell r="A3" t="str">
            <v>Institucional</v>
          </cell>
          <cell r="M3" t="str">
            <v>Mineria</v>
          </cell>
        </row>
        <row r="4">
          <cell r="A4" t="str">
            <v>Minero</v>
          </cell>
          <cell r="M4" t="str">
            <v>Hidrocarburos</v>
          </cell>
        </row>
        <row r="5">
          <cell r="A5" t="str">
            <v>Hidrocarburos</v>
          </cell>
          <cell r="M5" t="str">
            <v xml:space="preserve">Multisubsectorial </v>
          </cell>
        </row>
        <row r="6">
          <cell r="A6" t="str">
            <v>Energía</v>
          </cell>
        </row>
        <row r="7">
          <cell r="A7" t="str">
            <v xml:space="preserve">Biofisicos </v>
          </cell>
        </row>
        <row r="8">
          <cell r="A8" t="str">
            <v xml:space="preserve">Gestión_y_Evaluación_Ambiental </v>
          </cell>
        </row>
        <row r="9">
          <cell r="A9" t="str">
            <v>Cambio_Climático_y_Gestión_del_Riesgo</v>
          </cell>
        </row>
        <row r="10">
          <cell r="A10" t="str">
            <v>Transición_Energética</v>
          </cell>
        </row>
        <row r="11">
          <cell r="A11" t="str">
            <v xml:space="preserve">Sociales </v>
          </cell>
        </row>
        <row r="12">
          <cell r="A12" t="str">
            <v xml:space="preserve">Económicos 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GIEN" refreshedDate="45796.902445254629" createdVersion="8" refreshedVersion="8" minRefreshableVersion="3" recordCount="52" xr:uid="{7F88A305-8B69-467F-8720-590F65D28907}">
  <cacheSource type="worksheet">
    <worksheetSource ref="A1:I1048576" sheet="Resultado"/>
  </cacheSource>
  <cacheFields count="9">
    <cacheField name="N°" numFmtId="0">
      <sharedItems containsString="0" containsBlank="1" containsNumber="1" containsInteger="1" minValue="1" maxValue="51"/>
    </cacheField>
    <cacheField name="Dimensión" numFmtId="0">
      <sharedItems containsBlank="1" count="12">
        <s v="Análisis jurídico-normativo"/>
        <s v="Análisis institucional"/>
        <s v="Social"/>
        <s v="Biofísica y ecológica"/>
        <s v="Gestión y evaluación ambiental"/>
        <s v="Cambio climático y gestión del riesgo "/>
        <s v="Transición energética justa"/>
        <s v="Económica"/>
        <s v="Subsector de hidrocarburos "/>
        <s v="Subsector de minería "/>
        <s v="Subsector de energía eléctrica"/>
        <m/>
      </sharedItems>
    </cacheField>
    <cacheField name="Objetivos" numFmtId="0">
      <sharedItems containsBlank="1" count="5">
        <s v="Robustez"/>
        <s v="Equidad"/>
        <s v="Efectividad"/>
        <s v="Receptividad"/>
        <m/>
      </sharedItems>
    </cacheField>
    <cacheField name="Atributo" numFmtId="0">
      <sharedItems containsBlank="1" count="19">
        <s v="Legitimidad"/>
        <s v="Reconocimiento, Participación, Transparencia"/>
        <s v="Coordinación, dirección, capacidad y eficiencia"/>
        <s v="Reconocimiento y justicia"/>
        <s v="Participación"/>
        <s v="Reconocimiento"/>
        <s v="Justicia"/>
        <s v="Transparencia"/>
        <s v="Eficiencia"/>
        <s v="Anticipación"/>
        <s v="Responsabilidad"/>
        <s v="Flexibilidad y Adaptación"/>
        <s v="Información"/>
        <s v="Información "/>
        <s v="Legitimidad - Cumplimiento legal"/>
        <s v="Capacidad - Capacidad institucional"/>
        <s v="Capacidad - Capacidad institucional para actuar"/>
        <s v="Participación – Acceso a la Información"/>
        <m/>
      </sharedItems>
    </cacheField>
    <cacheField name="Índice / Indicador" numFmtId="0">
      <sharedItems containsBlank="1" count="52">
        <s v="Reconocimiento y protección de los derechos ambientales en la política sectorial de derechos humanos"/>
        <s v="Contexto favorable para el ejercicio de los derechos ambientales"/>
        <s v="Análisis de impacto regulatorio con dimensión ambiental"/>
        <s v="Evaluación ex post de regulaciones"/>
        <s v="Procesos de consulta pública en la producción normativa"/>
        <s v="Puntaje del sector de minas y energía en el índice de Desempeño Institucional"/>
        <s v="Coordinación intersectorial"/>
        <s v="Acceso a justicia"/>
        <s v="Participación ciudadana"/>
        <s v="Interacción de género y enfoque diferencial"/>
        <s v="Conflictividad socioambiental"/>
        <s v="Cumplimiento a PQRSD"/>
        <s v="Variación de la demanda hídrica"/>
        <s v="Variación de la huella hídrica azul"/>
        <s v="Variación del área compensada por cada subsector minero energético"/>
        <s v="Área de superposición de cada subsector minero energético con determinantes ambientales"/>
        <s v="Área de superposición de cada subsector minero energético con áreas prioritarias de conservación"/>
        <s v="Variación en la generación de residuos peligrosos (RESPEL) por unidad producida"/>
        <s v="Licenciamiento Ambiental"/>
        <s v="Procesos sancionatorios ambientales"/>
        <s v="Variación de emisiones de GEI del sector"/>
        <s v="Tasa de variación de financiamiento climático"/>
        <s v="Índice de vulnerabilidad climática"/>
        <s v="Índice de Derrames de Hidrocarburos (IDH)"/>
        <s v="Índice de Gravedad de Accidentes Mineros (IGAM)"/>
        <s v="índice de Severidad de Accidentes Eléctricos (ISAE)"/>
        <s v="Variación de la intensidad energética por subsector"/>
        <s v="Variación de la intensidad energética nacional"/>
        <s v="Participación de las FNCER en la matriz energética primaria"/>
        <s v="Participación de las FNCER en la matriz energética eléctrica."/>
        <s v="Producción de minerales estratégicos y críticos para la TEJ."/>
        <s v="Pobreza multidimensional en municipios productores de minerales estratégicos"/>
        <s v="Recaudo efectivo de regalías"/>
        <s v="Regalías destinadas al sector ambiente y desarrollo sostenible"/>
        <s v="Variación de proyectos del SGR dirigidos al sector ambiente y desarrollo sostenible"/>
        <s v="Participación del sector minero energético en el PIB nacional"/>
        <s v="Participación del sector minero energético en las exportaciones del país"/>
        <s v="Pobreza multidimensional en municipios productores de hidrocarburos."/>
        <s v="Índice de cobertura y equidad territorial en municipios productores"/>
        <s v="Participación de los hidrocarburos en la matriz energética (IPHME)"/>
        <s v="Variación del stock de hidrocarburos"/>
        <s v="Disponibilidad de reservas de hidrocarburos (R/P)"/>
        <s v="Tasa de extracción de hidrocarburos (TEH)"/>
        <s v="Superposición de títulos mineros activos con áreas ambientales excluibles, restrictivas e informativas para la minería"/>
        <s v="Superposición de áreas de reserva especial declaradas y solicitadas con áreas ambientales excluibles, restrictivas e informativas para la minería"/>
        <s v="Procesos de formalización y registro minero"/>
        <s v="Áreas recuperadas por gestión y control a la explotación ilegal de minerales"/>
        <s v="Variación del Consumo de Energía Eléctrica en el país."/>
        <s v="Variación en el nivel de pobreza energética multidimensional nacional."/>
        <s v="Variación en la cobertura en el acceso al servicio de energía eléctrica en el país."/>
        <s v="Porcentaje de Informes de Sostenibilidad anuales publicados por empresas generadoras del país."/>
        <m/>
      </sharedItems>
    </cacheField>
    <cacheField name="Resultado del indicador _x000a_(en sus unidades)" numFmtId="0">
      <sharedItems containsBlank="1" containsMixedTypes="1" containsNumber="1" minValue="-96.19" maxValue="82.4"/>
    </cacheField>
    <cacheField name="Puntaje para la gobernanza" numFmtId="0">
      <sharedItems containsString="0" containsBlank="1" containsNumber="1" minValue="1" maxValue="24"/>
    </cacheField>
    <cacheField name="Puntaje máximo del indicador" numFmtId="0">
      <sharedItems containsString="0" containsBlank="1" containsNumber="1" containsInteger="1" minValue="11" maxValue="24"/>
    </cacheField>
    <cacheField name="Porcentaje alcanzado" numFmtId="0">
      <sharedItems containsString="0" containsBlank="1" containsNumber="1" minValue="0" maxValue="100"/>
    </cacheField>
  </cacheFields>
  <extLst>
    <ext xmlns:x14="http://schemas.microsoft.com/office/spreadsheetml/2009/9/main" uri="{725AE2AE-9491-48be-B2B4-4EB974FC3084}">
      <x14:pivotCacheDefinition pivotCacheId="2086633192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GIEN" refreshedDate="45796.904427893518" createdVersion="8" refreshedVersion="8" minRefreshableVersion="3" recordCount="51" xr:uid="{DD9CFFC8-6C80-4BDA-AEB1-27477307E1BB}">
  <cacheSource type="worksheet">
    <worksheetSource name="Tabla2"/>
  </cacheSource>
  <cacheFields count="9">
    <cacheField name="N°" numFmtId="0">
      <sharedItems containsSemiMixedTypes="0" containsString="0" containsNumber="1" containsInteger="1" minValue="1" maxValue="51" count="51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</sharedItems>
    </cacheField>
    <cacheField name="Dimensión" numFmtId="0">
      <sharedItems count="11">
        <s v="Análisis jurídico-normativo"/>
        <s v="Análisis institucional"/>
        <s v="Social"/>
        <s v="Biofísica y ecológica"/>
        <s v="Gestión y evaluación ambiental"/>
        <s v="Cambio climático y gestión del riesgo "/>
        <s v="Transición energética justa"/>
        <s v="Económica"/>
        <s v="Subsector de hidrocarburos "/>
        <s v="Subsector de minería "/>
        <s v="Subsector de energía eléctrica"/>
      </sharedItems>
    </cacheField>
    <cacheField name="Objetivos" numFmtId="0">
      <sharedItems count="4">
        <s v="Robustez"/>
        <s v="Equidad"/>
        <s v="Efectividad"/>
        <s v="Receptividad"/>
      </sharedItems>
    </cacheField>
    <cacheField name="Atributo" numFmtId="0">
      <sharedItems count="18">
        <s v="Legitimidad"/>
        <s v="Reconocimiento, Participación, Transparencia"/>
        <s v="Coordinación, dirección, capacidad y eficiencia"/>
        <s v="Reconocimiento y justicia"/>
        <s v="Participación"/>
        <s v="Reconocimiento"/>
        <s v="Justicia"/>
        <s v="Transparencia"/>
        <s v="Eficiencia"/>
        <s v="Anticipación"/>
        <s v="Responsabilidad"/>
        <s v="Flexibilidad y Adaptación"/>
        <s v="Información"/>
        <s v="Información "/>
        <s v="Legitimidad - Cumplimiento legal"/>
        <s v="Capacidad - Capacidad institucional"/>
        <s v="Capacidad - Capacidad institucional para actuar"/>
        <s v="Participación – Acceso a la Información"/>
      </sharedItems>
    </cacheField>
    <cacheField name="Índice / Indicador" numFmtId="0">
      <sharedItems count="51">
        <s v="Reconocimiento y protección de los derechos ambientales en la política sectorial de derechos humanos"/>
        <s v="Contexto favorable para el ejercicio de los derechos ambientales"/>
        <s v="Análisis de impacto regulatorio con dimensión ambiental"/>
        <s v="Evaluación ex post de regulaciones"/>
        <s v="Procesos de consulta pública en la producción normativa"/>
        <s v="Puntaje del sector de minas y energía en el índice de Desempeño Institucional"/>
        <s v="Coordinación intersectorial"/>
        <s v="Acceso a justicia"/>
        <s v="Participación ciudadana"/>
        <s v="Interacción de género y enfoque diferencial"/>
        <s v="Conflictividad socioambiental"/>
        <s v="Cumplimiento a PQRSD"/>
        <s v="Variación de la demanda hídrica"/>
        <s v="Variación de la huella hídrica azul"/>
        <s v="Variación del área compensada por cada subsector minero energético"/>
        <s v="Área de superposición de cada subsector minero energético con determinantes ambientales"/>
        <s v="Área de superposición de cada subsector minero energético con áreas prioritarias de conservación"/>
        <s v="Variación en la generación de residuos peligrosos (RESPEL) por unidad producida"/>
        <s v="Licenciamiento Ambiental"/>
        <s v="Procesos sancionatorios ambientales"/>
        <s v="Variación de emisiones de GEI del sector"/>
        <s v="Tasa de variación de financiamiento climático"/>
        <s v="Índice de vulnerabilidad climática"/>
        <s v="Índice de Derrames de Hidrocarburos (IDH)"/>
        <s v="Índice de Gravedad de Accidentes Mineros (IGAM)"/>
        <s v="índice de Severidad de Accidentes Eléctricos (ISAE)"/>
        <s v="Variación de la intensidad energética por subsector"/>
        <s v="Variación de la intensidad energética nacional"/>
        <s v="Participación de las FNCER en la matriz energética primaria"/>
        <s v="Participación de las FNCER en la matriz energética eléctrica."/>
        <s v="Producción de minerales estratégicos y críticos para la TEJ."/>
        <s v="Pobreza multidimensional en municipios productores de minerales estratégicos"/>
        <s v="Recaudo efectivo de regalías"/>
        <s v="Regalías destinadas al sector ambiente y desarrollo sostenible"/>
        <s v="Variación de proyectos del SGR dirigidos al sector ambiente y desarrollo sostenible"/>
        <s v="Participación del sector minero energético en el PIB nacional"/>
        <s v="Participación del sector minero energético en las exportaciones del país"/>
        <s v="Pobreza multidimensional en municipios productores de hidrocarburos."/>
        <s v="Índice de cobertura y equidad territorial en municipios productores"/>
        <s v="Participación de los hidrocarburos en la matriz energética (IPHME)"/>
        <s v="Variación del stock de hidrocarburos"/>
        <s v="Disponibilidad de reservas de hidrocarburos (R/P)"/>
        <s v="Tasa de extracción de hidrocarburos (TEH)"/>
        <s v="Superposición de títulos mineros activos con áreas ambientales excluibles, restrictivas e informativas para la minería"/>
        <s v="Superposición de áreas de reserva especial declaradas y solicitadas con áreas ambientales excluibles, restrictivas e informativas para la minería"/>
        <s v="Procesos de formalización y registro minero"/>
        <s v="Áreas recuperadas por gestión y control a la explotación ilegal de minerales"/>
        <s v="Variación del Consumo de Energía Eléctrica en el país."/>
        <s v="Variación en el nivel de pobreza energética multidimensional nacional."/>
        <s v="Variación en la cobertura en el acceso al servicio de energía eléctrica en el país."/>
        <s v="Porcentaje de Informes de Sostenibilidad anuales publicados por empresas generadoras del país."/>
      </sharedItems>
    </cacheField>
    <cacheField name="Resultado del indicador _x000a_(en sus unidades)" numFmtId="0">
      <sharedItems containsBlank="1" containsMixedTypes="1" containsNumber="1" minValue="-96.19" maxValue="82.4"/>
    </cacheField>
    <cacheField name="Puntaje para la gobernanza" numFmtId="0">
      <sharedItems containsString="0" containsBlank="1" containsNumber="1" minValue="1" maxValue="24"/>
    </cacheField>
    <cacheField name="Puntaje máximo del indicador" numFmtId="1">
      <sharedItems containsSemiMixedTypes="0" containsString="0" containsNumber="1" containsInteger="1" minValue="11" maxValue="24"/>
    </cacheField>
    <cacheField name="Porcentaje alcanzado" numFmtId="1">
      <sharedItems containsSemiMixedTypes="0" containsString="0" containsNumber="1" minValue="0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">
  <r>
    <n v="1"/>
    <x v="0"/>
    <x v="0"/>
    <x v="0"/>
    <x v="0"/>
    <n v="3.75"/>
    <n v="3.8"/>
    <n v="21"/>
    <n v="18.095238095238095"/>
  </r>
  <r>
    <n v="2"/>
    <x v="0"/>
    <x v="0"/>
    <x v="0"/>
    <x v="1"/>
    <n v="41.4"/>
    <n v="7"/>
    <n v="14"/>
    <n v="50"/>
  </r>
  <r>
    <n v="3"/>
    <x v="0"/>
    <x v="1"/>
    <x v="1"/>
    <x v="2"/>
    <n v="15.3"/>
    <n v="15.3"/>
    <n v="21"/>
    <n v="72.857142857142861"/>
  </r>
  <r>
    <n v="4"/>
    <x v="0"/>
    <x v="1"/>
    <x v="1"/>
    <x v="3"/>
    <n v="1"/>
    <n v="1"/>
    <n v="19"/>
    <n v="5.2631578947368416"/>
  </r>
  <r>
    <n v="5"/>
    <x v="0"/>
    <x v="1"/>
    <x v="1"/>
    <x v="4"/>
    <n v="15.3"/>
    <n v="15.3"/>
    <n v="21"/>
    <n v="72.857142857142861"/>
  </r>
  <r>
    <n v="6"/>
    <x v="1"/>
    <x v="2"/>
    <x v="2"/>
    <x v="5"/>
    <n v="82.4"/>
    <n v="21"/>
    <n v="21"/>
    <n v="100"/>
  </r>
  <r>
    <n v="7"/>
    <x v="1"/>
    <x v="2"/>
    <x v="2"/>
    <x v="6"/>
    <n v="4"/>
    <n v="4"/>
    <n v="19"/>
    <n v="21.052631578947366"/>
  </r>
  <r>
    <n v="8"/>
    <x v="1"/>
    <x v="1"/>
    <x v="3"/>
    <x v="7"/>
    <n v="2"/>
    <n v="2"/>
    <n v="19"/>
    <n v="10.526315789473683"/>
  </r>
  <r>
    <n v="9"/>
    <x v="2"/>
    <x v="1"/>
    <x v="4"/>
    <x v="8"/>
    <s v="84.6%"/>
    <n v="24"/>
    <n v="24"/>
    <n v="100"/>
  </r>
  <r>
    <n v="10"/>
    <x v="2"/>
    <x v="1"/>
    <x v="5"/>
    <x v="9"/>
    <n v="0.26350000000000001"/>
    <n v="19"/>
    <n v="19"/>
    <n v="100"/>
  </r>
  <r>
    <n v="11"/>
    <x v="2"/>
    <x v="1"/>
    <x v="6"/>
    <x v="10"/>
    <s v="35.25%"/>
    <n v="18"/>
    <n v="24"/>
    <n v="75"/>
  </r>
  <r>
    <n v="12"/>
    <x v="2"/>
    <x v="1"/>
    <x v="7"/>
    <x v="11"/>
    <s v="94.24%"/>
    <n v="16"/>
    <n v="22"/>
    <n v="72.727272727272734"/>
  </r>
  <r>
    <n v="13"/>
    <x v="3"/>
    <x v="2"/>
    <x v="8"/>
    <x v="12"/>
    <s v="1507,5 millones de m3/año"/>
    <n v="17"/>
    <n v="17"/>
    <n v="100"/>
  </r>
  <r>
    <n v="14"/>
    <x v="3"/>
    <x v="2"/>
    <x v="8"/>
    <x v="13"/>
    <s v="39,6  millones de m3/año"/>
    <n v="17"/>
    <n v="17"/>
    <n v="100"/>
  </r>
  <r>
    <n v="15"/>
    <x v="3"/>
    <x v="2"/>
    <x v="8"/>
    <x v="14"/>
    <s v="122,79 hectáreas"/>
    <n v="9.5"/>
    <n v="19"/>
    <n v="50"/>
  </r>
  <r>
    <n v="16"/>
    <x v="3"/>
    <x v="2"/>
    <x v="8"/>
    <x v="15"/>
    <s v="Subsector minero: 42,54%_x000a_Subsector hidrocarburos:9,43%_x000a_Subsector energía eléctrica:21,43%"/>
    <n v="9.5"/>
    <n v="19"/>
    <n v="50"/>
  </r>
  <r>
    <n v="17"/>
    <x v="3"/>
    <x v="2"/>
    <x v="8"/>
    <x v="16"/>
    <s v="Subsector minero: 23,31%_x000a_Subsector hidrocarburos:24,13%_x000a_Subsector energía eléctrica:76,47%"/>
    <n v="8.3000000000000007"/>
    <n v="19"/>
    <n v="43.684210526315795"/>
  </r>
  <r>
    <n v="18"/>
    <x v="4"/>
    <x v="2"/>
    <x v="8"/>
    <x v="17"/>
    <s v="Hidrocarburos: 15.88%_x000a_Minería: 37.62%_x000a_Energía eléctrica: 115.52%"/>
    <n v="4"/>
    <n v="21"/>
    <n v="19.047619047619047"/>
  </r>
  <r>
    <n v="19"/>
    <x v="4"/>
    <x v="3"/>
    <x v="9"/>
    <x v="18"/>
    <n v="0.64"/>
    <n v="12"/>
    <n v="19"/>
    <n v="63.157894736842103"/>
  </r>
  <r>
    <n v="20"/>
    <x v="4"/>
    <x v="2"/>
    <x v="10"/>
    <x v="19"/>
    <n v="0"/>
    <n v="17"/>
    <n v="17"/>
    <n v="100"/>
  </r>
  <r>
    <n v="21"/>
    <x v="5"/>
    <x v="3"/>
    <x v="11"/>
    <x v="20"/>
    <n v="39.17"/>
    <n v="7"/>
    <n v="22"/>
    <n v="31.818181818181817"/>
  </r>
  <r>
    <n v="22"/>
    <x v="5"/>
    <x v="3"/>
    <x v="11"/>
    <x v="21"/>
    <n v="-96.19"/>
    <n v="6"/>
    <n v="21"/>
    <n v="28.571428571428569"/>
  </r>
  <r>
    <n v="23"/>
    <x v="5"/>
    <x v="3"/>
    <x v="9"/>
    <x v="22"/>
    <m/>
    <m/>
    <n v="19"/>
    <n v="0"/>
  </r>
  <r>
    <n v="24"/>
    <x v="5"/>
    <x v="3"/>
    <x v="9"/>
    <x v="23"/>
    <n v="3.93"/>
    <n v="12"/>
    <n v="24"/>
    <n v="50"/>
  </r>
  <r>
    <n v="25"/>
    <x v="5"/>
    <x v="3"/>
    <x v="9"/>
    <x v="24"/>
    <n v="4.2"/>
    <n v="6"/>
    <n v="24"/>
    <n v="25"/>
  </r>
  <r>
    <n v="26"/>
    <x v="5"/>
    <x v="3"/>
    <x v="9"/>
    <x v="25"/>
    <n v="1.24"/>
    <n v="18"/>
    <n v="24"/>
    <n v="75"/>
  </r>
  <r>
    <n v="27"/>
    <x v="6"/>
    <x v="3"/>
    <x v="11"/>
    <x v="26"/>
    <s v="-0.129%"/>
    <n v="2"/>
    <n v="14"/>
    <n v="14.285714285714285"/>
  </r>
  <r>
    <n v="28"/>
    <x v="6"/>
    <x v="3"/>
    <x v="11"/>
    <x v="27"/>
    <s v="0.553%"/>
    <n v="6"/>
    <n v="14"/>
    <n v="42.857142857142854"/>
  </r>
  <r>
    <n v="29"/>
    <x v="6"/>
    <x v="3"/>
    <x v="11"/>
    <x v="28"/>
    <s v="9.59%"/>
    <n v="17"/>
    <n v="17"/>
    <n v="100"/>
  </r>
  <r>
    <n v="30"/>
    <x v="6"/>
    <x v="3"/>
    <x v="11"/>
    <x v="29"/>
    <n v="0.36"/>
    <n v="17"/>
    <n v="17"/>
    <n v="100"/>
  </r>
  <r>
    <n v="31"/>
    <x v="6"/>
    <x v="3"/>
    <x v="11"/>
    <x v="30"/>
    <s v="22265,51 ton"/>
    <n v="17"/>
    <n v="17"/>
    <n v="100"/>
  </r>
  <r>
    <n v="32"/>
    <x v="6"/>
    <x v="1"/>
    <x v="6"/>
    <x v="31"/>
    <s v="-0.84%"/>
    <n v="5"/>
    <n v="17"/>
    <n v="29.411764705882355"/>
  </r>
  <r>
    <n v="33"/>
    <x v="7"/>
    <x v="2"/>
    <x v="8"/>
    <x v="32"/>
    <n v="1.17"/>
    <n v="21"/>
    <n v="21"/>
    <n v="100"/>
  </r>
  <r>
    <n v="34"/>
    <x v="7"/>
    <x v="2"/>
    <x v="8"/>
    <x v="33"/>
    <n v="0.98"/>
    <n v="19"/>
    <n v="19"/>
    <n v="100"/>
  </r>
  <r>
    <n v="35"/>
    <x v="7"/>
    <x v="2"/>
    <x v="8"/>
    <x v="34"/>
    <n v="1.86"/>
    <n v="14"/>
    <n v="14"/>
    <n v="100"/>
  </r>
  <r>
    <n v="36"/>
    <x v="7"/>
    <x v="2"/>
    <x v="8"/>
    <x v="35"/>
    <n v="6.2600000000000003E-2"/>
    <n v="17"/>
    <n v="17"/>
    <n v="100"/>
  </r>
  <r>
    <n v="37"/>
    <x v="7"/>
    <x v="2"/>
    <x v="8"/>
    <x v="36"/>
    <n v="0.5252"/>
    <n v="3.5"/>
    <n v="11"/>
    <n v="31.818181818181817"/>
  </r>
  <r>
    <n v="38"/>
    <x v="8"/>
    <x v="1"/>
    <x v="6"/>
    <x v="37"/>
    <n v="6.3899999999999998E-2"/>
    <n v="10"/>
    <n v="14"/>
    <n v="71.428571428571431"/>
  </r>
  <r>
    <n v="39"/>
    <x v="8"/>
    <x v="1"/>
    <x v="6"/>
    <x v="38"/>
    <n v="6.0400000000000002E-2"/>
    <n v="12"/>
    <n v="24"/>
    <n v="50"/>
  </r>
  <r>
    <n v="40"/>
    <x v="8"/>
    <x v="3"/>
    <x v="9"/>
    <x v="39"/>
    <n v="0.62890000000000001"/>
    <n v="7"/>
    <n v="21"/>
    <n v="33.333333333333329"/>
  </r>
  <r>
    <n v="41"/>
    <x v="8"/>
    <x v="2"/>
    <x v="12"/>
    <x v="40"/>
    <s v="–2,61%"/>
    <n v="7"/>
    <n v="21"/>
    <n v="33.333333333333329"/>
  </r>
  <r>
    <n v="42"/>
    <x v="8"/>
    <x v="2"/>
    <x v="13"/>
    <x v="41"/>
    <s v="6,82 años"/>
    <n v="6"/>
    <n v="21"/>
    <n v="28.571428571428569"/>
  </r>
  <r>
    <n v="43"/>
    <x v="8"/>
    <x v="2"/>
    <x v="12"/>
    <x v="42"/>
    <n v="0.1273"/>
    <n v="6"/>
    <n v="21"/>
    <n v="28.571428571428569"/>
  </r>
  <r>
    <n v="44"/>
    <x v="9"/>
    <x v="0"/>
    <x v="14"/>
    <x v="43"/>
    <n v="0.4138"/>
    <n v="12"/>
    <n v="24"/>
    <n v="50"/>
  </r>
  <r>
    <n v="45"/>
    <x v="9"/>
    <x v="0"/>
    <x v="14"/>
    <x v="44"/>
    <n v="0.53469999999999995"/>
    <n v="14"/>
    <n v="24"/>
    <n v="58.333333333333336"/>
  </r>
  <r>
    <n v="46"/>
    <x v="9"/>
    <x v="0"/>
    <x v="15"/>
    <x v="45"/>
    <n v="0.40039999999999998"/>
    <n v="6"/>
    <n v="21"/>
    <n v="28.571428571428569"/>
  </r>
  <r>
    <n v="47"/>
    <x v="9"/>
    <x v="1"/>
    <x v="16"/>
    <x v="46"/>
    <n v="6.8000000000000005E-2"/>
    <n v="1"/>
    <n v="14"/>
    <n v="7.1428571428571423"/>
  </r>
  <r>
    <n v="48"/>
    <x v="10"/>
    <x v="2"/>
    <x v="8"/>
    <x v="47"/>
    <n v="0.13900000000000001"/>
    <n v="24"/>
    <n v="24"/>
    <n v="100"/>
  </r>
  <r>
    <n v="49"/>
    <x v="10"/>
    <x v="2"/>
    <x v="8"/>
    <x v="48"/>
    <n v="3.5999999999999997E-2"/>
    <n v="22"/>
    <n v="22"/>
    <n v="100"/>
  </r>
  <r>
    <n v="50"/>
    <x v="10"/>
    <x v="1"/>
    <x v="6"/>
    <x v="49"/>
    <n v="4.0000000000000001E-3"/>
    <n v="2"/>
    <n v="24"/>
    <n v="8.3333333333333321"/>
  </r>
  <r>
    <n v="51"/>
    <x v="10"/>
    <x v="1"/>
    <x v="17"/>
    <x v="50"/>
    <n v="0.54500000000000004"/>
    <n v="14"/>
    <n v="21"/>
    <n v="66.666666666666657"/>
  </r>
  <r>
    <m/>
    <x v="11"/>
    <x v="4"/>
    <x v="18"/>
    <x v="51"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1">
  <r>
    <x v="0"/>
    <x v="0"/>
    <x v="0"/>
    <x v="0"/>
    <x v="0"/>
    <n v="3.75"/>
    <n v="3.8"/>
    <n v="21"/>
    <n v="18.095238095238095"/>
  </r>
  <r>
    <x v="1"/>
    <x v="0"/>
    <x v="0"/>
    <x v="0"/>
    <x v="1"/>
    <n v="41.4"/>
    <n v="7"/>
    <n v="14"/>
    <n v="50"/>
  </r>
  <r>
    <x v="2"/>
    <x v="0"/>
    <x v="1"/>
    <x v="1"/>
    <x v="2"/>
    <n v="15.3"/>
    <n v="15.3"/>
    <n v="21"/>
    <n v="72.857142857142861"/>
  </r>
  <r>
    <x v="3"/>
    <x v="0"/>
    <x v="1"/>
    <x v="1"/>
    <x v="3"/>
    <n v="1"/>
    <n v="1"/>
    <n v="19"/>
    <n v="5.2631578947368416"/>
  </r>
  <r>
    <x v="4"/>
    <x v="0"/>
    <x v="1"/>
    <x v="1"/>
    <x v="4"/>
    <n v="15.3"/>
    <n v="15.3"/>
    <n v="21"/>
    <n v="72.857142857142861"/>
  </r>
  <r>
    <x v="5"/>
    <x v="1"/>
    <x v="2"/>
    <x v="2"/>
    <x v="5"/>
    <n v="82.4"/>
    <n v="21"/>
    <n v="21"/>
    <n v="100"/>
  </r>
  <r>
    <x v="6"/>
    <x v="1"/>
    <x v="2"/>
    <x v="2"/>
    <x v="6"/>
    <n v="4"/>
    <n v="4"/>
    <n v="19"/>
    <n v="21.052631578947366"/>
  </r>
  <r>
    <x v="7"/>
    <x v="1"/>
    <x v="1"/>
    <x v="3"/>
    <x v="7"/>
    <n v="2"/>
    <n v="2"/>
    <n v="19"/>
    <n v="10.526315789473683"/>
  </r>
  <r>
    <x v="8"/>
    <x v="2"/>
    <x v="1"/>
    <x v="4"/>
    <x v="8"/>
    <s v="84.6%"/>
    <n v="24"/>
    <n v="24"/>
    <n v="100"/>
  </r>
  <r>
    <x v="9"/>
    <x v="2"/>
    <x v="1"/>
    <x v="5"/>
    <x v="9"/>
    <n v="0.26350000000000001"/>
    <n v="19"/>
    <n v="19"/>
    <n v="100"/>
  </r>
  <r>
    <x v="10"/>
    <x v="2"/>
    <x v="1"/>
    <x v="6"/>
    <x v="10"/>
    <s v="35.25%"/>
    <n v="18"/>
    <n v="24"/>
    <n v="75"/>
  </r>
  <r>
    <x v="11"/>
    <x v="2"/>
    <x v="1"/>
    <x v="7"/>
    <x v="11"/>
    <s v="94.24%"/>
    <n v="16"/>
    <n v="22"/>
    <n v="72.727272727272734"/>
  </r>
  <r>
    <x v="12"/>
    <x v="3"/>
    <x v="2"/>
    <x v="8"/>
    <x v="12"/>
    <s v="1507,5 millones de m3/año"/>
    <n v="17"/>
    <n v="17"/>
    <n v="100"/>
  </r>
  <r>
    <x v="13"/>
    <x v="3"/>
    <x v="2"/>
    <x v="8"/>
    <x v="13"/>
    <s v="39,6  millones de m3/año"/>
    <n v="17"/>
    <n v="17"/>
    <n v="100"/>
  </r>
  <r>
    <x v="14"/>
    <x v="3"/>
    <x v="2"/>
    <x v="8"/>
    <x v="14"/>
    <s v="122,79 hectáreas"/>
    <n v="9.5"/>
    <n v="19"/>
    <n v="50"/>
  </r>
  <r>
    <x v="15"/>
    <x v="3"/>
    <x v="2"/>
    <x v="8"/>
    <x v="15"/>
    <s v="Subsector minero: 42,54%_x000a_Subsector hidrocarburos:9,43%_x000a_Subsector energía eléctrica:21,43%"/>
    <n v="9.5"/>
    <n v="19"/>
    <n v="50"/>
  </r>
  <r>
    <x v="16"/>
    <x v="3"/>
    <x v="2"/>
    <x v="8"/>
    <x v="16"/>
    <s v="Subsector minero: 23,31%_x000a_Subsector hidrocarburos:24,13%_x000a_Subsector energía eléctrica:76,47%"/>
    <n v="8.3000000000000007"/>
    <n v="19"/>
    <n v="43.684210526315795"/>
  </r>
  <r>
    <x v="17"/>
    <x v="4"/>
    <x v="2"/>
    <x v="8"/>
    <x v="17"/>
    <s v="Hidrocarburos: 15.88%_x000a_Minería: 37.62%_x000a_Energía eléctrica: 115.52%"/>
    <n v="4"/>
    <n v="21"/>
    <n v="19.047619047619047"/>
  </r>
  <r>
    <x v="18"/>
    <x v="4"/>
    <x v="3"/>
    <x v="9"/>
    <x v="18"/>
    <n v="0.64"/>
    <n v="12"/>
    <n v="19"/>
    <n v="63.157894736842103"/>
  </r>
  <r>
    <x v="19"/>
    <x v="4"/>
    <x v="2"/>
    <x v="10"/>
    <x v="19"/>
    <n v="0"/>
    <n v="17"/>
    <n v="17"/>
    <n v="100"/>
  </r>
  <r>
    <x v="20"/>
    <x v="5"/>
    <x v="3"/>
    <x v="11"/>
    <x v="20"/>
    <n v="39.17"/>
    <n v="7"/>
    <n v="22"/>
    <n v="31.818181818181817"/>
  </r>
  <r>
    <x v="21"/>
    <x v="5"/>
    <x v="3"/>
    <x v="11"/>
    <x v="21"/>
    <n v="-96.19"/>
    <n v="6"/>
    <n v="21"/>
    <n v="28.571428571428569"/>
  </r>
  <r>
    <x v="22"/>
    <x v="5"/>
    <x v="3"/>
    <x v="9"/>
    <x v="22"/>
    <m/>
    <m/>
    <n v="19"/>
    <n v="0"/>
  </r>
  <r>
    <x v="23"/>
    <x v="5"/>
    <x v="3"/>
    <x v="9"/>
    <x v="23"/>
    <n v="3.93"/>
    <n v="12"/>
    <n v="24"/>
    <n v="50"/>
  </r>
  <r>
    <x v="24"/>
    <x v="5"/>
    <x v="3"/>
    <x v="9"/>
    <x v="24"/>
    <n v="4.2"/>
    <n v="6"/>
    <n v="24"/>
    <n v="25"/>
  </r>
  <r>
    <x v="25"/>
    <x v="5"/>
    <x v="3"/>
    <x v="9"/>
    <x v="25"/>
    <n v="1.24"/>
    <n v="18"/>
    <n v="24"/>
    <n v="75"/>
  </r>
  <r>
    <x v="26"/>
    <x v="6"/>
    <x v="3"/>
    <x v="11"/>
    <x v="26"/>
    <s v="-0.129%"/>
    <n v="2"/>
    <n v="14"/>
    <n v="14.285714285714285"/>
  </r>
  <r>
    <x v="27"/>
    <x v="6"/>
    <x v="3"/>
    <x v="11"/>
    <x v="27"/>
    <s v="0.553%"/>
    <n v="6"/>
    <n v="14"/>
    <n v="42.857142857142854"/>
  </r>
  <r>
    <x v="28"/>
    <x v="6"/>
    <x v="3"/>
    <x v="11"/>
    <x v="28"/>
    <s v="9.59%"/>
    <n v="17"/>
    <n v="17"/>
    <n v="100"/>
  </r>
  <r>
    <x v="29"/>
    <x v="6"/>
    <x v="3"/>
    <x v="11"/>
    <x v="29"/>
    <n v="0.36"/>
    <n v="17"/>
    <n v="17"/>
    <n v="100"/>
  </r>
  <r>
    <x v="30"/>
    <x v="6"/>
    <x v="3"/>
    <x v="11"/>
    <x v="30"/>
    <s v="22265,51 ton"/>
    <n v="17"/>
    <n v="17"/>
    <n v="100"/>
  </r>
  <r>
    <x v="31"/>
    <x v="6"/>
    <x v="1"/>
    <x v="6"/>
    <x v="31"/>
    <s v="-0.84%"/>
    <n v="5"/>
    <n v="17"/>
    <n v="29.411764705882355"/>
  </r>
  <r>
    <x v="32"/>
    <x v="7"/>
    <x v="2"/>
    <x v="8"/>
    <x v="32"/>
    <n v="1.17"/>
    <n v="21"/>
    <n v="21"/>
    <n v="100"/>
  </r>
  <r>
    <x v="33"/>
    <x v="7"/>
    <x v="2"/>
    <x v="8"/>
    <x v="33"/>
    <n v="0.98"/>
    <n v="19"/>
    <n v="19"/>
    <n v="100"/>
  </r>
  <r>
    <x v="34"/>
    <x v="7"/>
    <x v="2"/>
    <x v="8"/>
    <x v="34"/>
    <n v="1.86"/>
    <n v="14"/>
    <n v="14"/>
    <n v="100"/>
  </r>
  <r>
    <x v="35"/>
    <x v="7"/>
    <x v="2"/>
    <x v="8"/>
    <x v="35"/>
    <n v="6.2600000000000003E-2"/>
    <n v="17"/>
    <n v="17"/>
    <n v="100"/>
  </r>
  <r>
    <x v="36"/>
    <x v="7"/>
    <x v="2"/>
    <x v="8"/>
    <x v="36"/>
    <n v="0.5252"/>
    <n v="3.5"/>
    <n v="11"/>
    <n v="31.818181818181817"/>
  </r>
  <r>
    <x v="37"/>
    <x v="8"/>
    <x v="1"/>
    <x v="6"/>
    <x v="37"/>
    <n v="6.3899999999999998E-2"/>
    <n v="10"/>
    <n v="14"/>
    <n v="71.428571428571431"/>
  </r>
  <r>
    <x v="38"/>
    <x v="8"/>
    <x v="1"/>
    <x v="6"/>
    <x v="38"/>
    <n v="6.0400000000000002E-2"/>
    <n v="12"/>
    <n v="24"/>
    <n v="50"/>
  </r>
  <r>
    <x v="39"/>
    <x v="8"/>
    <x v="3"/>
    <x v="9"/>
    <x v="39"/>
    <n v="0.62890000000000001"/>
    <n v="7"/>
    <n v="21"/>
    <n v="33.333333333333329"/>
  </r>
  <r>
    <x v="40"/>
    <x v="8"/>
    <x v="2"/>
    <x v="12"/>
    <x v="40"/>
    <s v="–2,61%"/>
    <n v="7"/>
    <n v="21"/>
    <n v="33.333333333333329"/>
  </r>
  <r>
    <x v="41"/>
    <x v="8"/>
    <x v="2"/>
    <x v="13"/>
    <x v="41"/>
    <s v="6,82 años"/>
    <n v="6"/>
    <n v="21"/>
    <n v="28.571428571428569"/>
  </r>
  <r>
    <x v="42"/>
    <x v="8"/>
    <x v="2"/>
    <x v="12"/>
    <x v="42"/>
    <n v="0.1273"/>
    <n v="6"/>
    <n v="21"/>
    <n v="28.571428571428569"/>
  </r>
  <r>
    <x v="43"/>
    <x v="9"/>
    <x v="0"/>
    <x v="14"/>
    <x v="43"/>
    <n v="0.4138"/>
    <n v="12"/>
    <n v="24"/>
    <n v="50"/>
  </r>
  <r>
    <x v="44"/>
    <x v="9"/>
    <x v="0"/>
    <x v="14"/>
    <x v="44"/>
    <n v="0.53469999999999995"/>
    <n v="14"/>
    <n v="24"/>
    <n v="58.333333333333336"/>
  </r>
  <r>
    <x v="45"/>
    <x v="9"/>
    <x v="0"/>
    <x v="15"/>
    <x v="45"/>
    <n v="0.40039999999999998"/>
    <n v="6"/>
    <n v="21"/>
    <n v="28.571428571428569"/>
  </r>
  <r>
    <x v="46"/>
    <x v="9"/>
    <x v="1"/>
    <x v="16"/>
    <x v="46"/>
    <n v="6.8000000000000005E-2"/>
    <n v="1"/>
    <n v="14"/>
    <n v="7.1428571428571423"/>
  </r>
  <r>
    <x v="47"/>
    <x v="10"/>
    <x v="2"/>
    <x v="8"/>
    <x v="47"/>
    <n v="0.13900000000000001"/>
    <n v="24"/>
    <n v="24"/>
    <n v="100"/>
  </r>
  <r>
    <x v="48"/>
    <x v="10"/>
    <x v="2"/>
    <x v="8"/>
    <x v="48"/>
    <n v="3.5999999999999997E-2"/>
    <n v="22"/>
    <n v="22"/>
    <n v="100"/>
  </r>
  <r>
    <x v="49"/>
    <x v="10"/>
    <x v="1"/>
    <x v="6"/>
    <x v="49"/>
    <n v="4.0000000000000001E-3"/>
    <n v="2"/>
    <n v="24"/>
    <n v="8.3333333333333321"/>
  </r>
  <r>
    <x v="50"/>
    <x v="10"/>
    <x v="1"/>
    <x v="17"/>
    <x v="50"/>
    <n v="0.54500000000000004"/>
    <n v="14"/>
    <n v="21"/>
    <n v="66.66666666666665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DBB2ED-8600-4915-BB56-BAD06FC59A86}" name="TablaDinámica3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29:C48" firstHeaderRow="0" firstDataRow="1" firstDataCol="1"/>
  <pivotFields count="9">
    <pivotField showAll="0"/>
    <pivotField showAll="0"/>
    <pivotField showAll="0"/>
    <pivotField axis="axisRow" showAll="0">
      <items count="19">
        <item x="9"/>
        <item x="15"/>
        <item x="16"/>
        <item x="2"/>
        <item x="8"/>
        <item x="11"/>
        <item x="12"/>
        <item x="13"/>
        <item x="6"/>
        <item x="0"/>
        <item x="14"/>
        <item x="4"/>
        <item x="17"/>
        <item x="5"/>
        <item x="3"/>
        <item x="1"/>
        <item x="10"/>
        <item x="7"/>
        <item t="default"/>
      </items>
    </pivotField>
    <pivotField showAll="0"/>
    <pivotField showAll="0"/>
    <pivotField dataField="1" showAll="0"/>
    <pivotField dataField="1" numFmtId="1" showAll="0"/>
    <pivotField numFmtId="1" showAll="0"/>
  </pivotFields>
  <rowFields count="1">
    <field x="3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Puntaje para la gobernanza" fld="6" baseField="0" baseItem="0"/>
    <dataField name="Suma de Puntaje máximo del indicador" fld="7" baseField="0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4A6054-B8D0-49F1-958F-4CC79973A187}" name="TablaDinámica2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A21:C26" firstHeaderRow="0" firstDataRow="1" firstDataCol="1"/>
  <pivotFields count="9">
    <pivotField showAll="0"/>
    <pivotField showAll="0"/>
    <pivotField axis="axisRow" showAll="0">
      <items count="5">
        <item x="2"/>
        <item x="1"/>
        <item x="3"/>
        <item x="0"/>
        <item t="default"/>
      </items>
    </pivotField>
    <pivotField showAll="0"/>
    <pivotField showAll="0"/>
    <pivotField showAll="0"/>
    <pivotField dataField="1" showAll="0"/>
    <pivotField dataField="1" numFmtId="1" showAll="0"/>
    <pivotField numFmtId="1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Puntaje para la gobernanza" fld="6" baseField="0" baseItem="0"/>
    <dataField name="Suma de Puntaje máximo del indicador" fld="7" baseField="0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0DDEA5-2ED5-44C1-AE1A-4D6FF91D4B53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2">
  <location ref="A3:C15" firstHeaderRow="0" firstDataRow="1" firstDataCol="1"/>
  <pivotFields count="9">
    <pivotField showAll="0"/>
    <pivotField axis="axisRow" showAll="0">
      <items count="13">
        <item x="1"/>
        <item x="0"/>
        <item x="3"/>
        <item x="5"/>
        <item x="7"/>
        <item x="4"/>
        <item x="2"/>
        <item x="10"/>
        <item x="8"/>
        <item x="9"/>
        <item x="6"/>
        <item h="1" x="11"/>
        <item t="default"/>
      </items>
    </pivotField>
    <pivotField showAll="0">
      <items count="6">
        <item x="2"/>
        <item x="1"/>
        <item x="3"/>
        <item x="0"/>
        <item x="4"/>
        <item t="default"/>
      </items>
    </pivotField>
    <pivotField showAll="0">
      <items count="20">
        <item x="9"/>
        <item x="15"/>
        <item x="16"/>
        <item x="2"/>
        <item x="8"/>
        <item x="11"/>
        <item x="12"/>
        <item x="13"/>
        <item x="6"/>
        <item x="0"/>
        <item x="14"/>
        <item x="4"/>
        <item x="17"/>
        <item x="5"/>
        <item x="3"/>
        <item x="1"/>
        <item x="10"/>
        <item x="7"/>
        <item x="18"/>
        <item t="default"/>
      </items>
    </pivotField>
    <pivotField showAll="0"/>
    <pivotField showAll="0"/>
    <pivotField dataField="1" showAll="0"/>
    <pivotField dataField="1" showAll="0"/>
    <pivotField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Puntaje para la gobernanza" fld="6" baseField="0" baseItem="0"/>
    <dataField name="Suma de Puntaje máximo del indicador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01C740-09EA-48FB-B0E3-9F0B578B7B3C}" name="TablaDinámica17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50:B113" firstHeaderRow="1" firstDataRow="1" firstDataCol="1"/>
  <pivotFields count="9">
    <pivotField showAll="0"/>
    <pivotField axis="axisRow" showAll="0">
      <items count="12">
        <item x="1"/>
        <item x="0"/>
        <item x="3"/>
        <item x="5"/>
        <item x="7"/>
        <item x="4"/>
        <item x="2"/>
        <item x="10"/>
        <item x="8"/>
        <item x="9"/>
        <item x="6"/>
        <item t="default"/>
      </items>
    </pivotField>
    <pivotField showAll="0"/>
    <pivotField showAll="0"/>
    <pivotField axis="axisRow" showAll="0">
      <items count="52">
        <item x="7"/>
        <item x="2"/>
        <item x="16"/>
        <item x="15"/>
        <item x="46"/>
        <item x="10"/>
        <item x="1"/>
        <item x="6"/>
        <item x="11"/>
        <item x="41"/>
        <item x="3"/>
        <item x="38"/>
        <item x="23"/>
        <item x="24"/>
        <item x="25"/>
        <item x="22"/>
        <item x="9"/>
        <item x="18"/>
        <item x="8"/>
        <item x="29"/>
        <item x="28"/>
        <item x="39"/>
        <item x="35"/>
        <item x="36"/>
        <item x="37"/>
        <item x="31"/>
        <item x="50"/>
        <item x="4"/>
        <item x="45"/>
        <item x="19"/>
        <item x="30"/>
        <item x="5"/>
        <item x="32"/>
        <item x="0"/>
        <item x="33"/>
        <item x="44"/>
        <item x="43"/>
        <item x="42"/>
        <item x="21"/>
        <item x="20"/>
        <item x="12"/>
        <item x="13"/>
        <item x="27"/>
        <item x="26"/>
        <item x="34"/>
        <item x="14"/>
        <item x="47"/>
        <item x="40"/>
        <item x="48"/>
        <item x="49"/>
        <item x="17"/>
        <item t="default"/>
      </items>
    </pivotField>
    <pivotField showAll="0"/>
    <pivotField showAll="0"/>
    <pivotField numFmtId="1" showAll="0"/>
    <pivotField dataField="1" numFmtId="1" showAll="0"/>
  </pivotFields>
  <rowFields count="2">
    <field x="1"/>
    <field x="4"/>
  </rowFields>
  <rowItems count="63">
    <i>
      <x/>
    </i>
    <i r="1">
      <x/>
    </i>
    <i r="1">
      <x v="7"/>
    </i>
    <i r="1">
      <x v="31"/>
    </i>
    <i>
      <x v="1"/>
    </i>
    <i r="1">
      <x v="1"/>
    </i>
    <i r="1">
      <x v="6"/>
    </i>
    <i r="1">
      <x v="10"/>
    </i>
    <i r="1">
      <x v="27"/>
    </i>
    <i r="1">
      <x v="33"/>
    </i>
    <i>
      <x v="2"/>
    </i>
    <i r="1">
      <x v="2"/>
    </i>
    <i r="1">
      <x v="3"/>
    </i>
    <i r="1">
      <x v="40"/>
    </i>
    <i r="1">
      <x v="41"/>
    </i>
    <i r="1">
      <x v="45"/>
    </i>
    <i>
      <x v="3"/>
    </i>
    <i r="1">
      <x v="12"/>
    </i>
    <i r="1">
      <x v="13"/>
    </i>
    <i r="1">
      <x v="14"/>
    </i>
    <i r="1">
      <x v="15"/>
    </i>
    <i r="1">
      <x v="38"/>
    </i>
    <i r="1">
      <x v="39"/>
    </i>
    <i>
      <x v="4"/>
    </i>
    <i r="1">
      <x v="22"/>
    </i>
    <i r="1">
      <x v="23"/>
    </i>
    <i r="1">
      <x v="32"/>
    </i>
    <i r="1">
      <x v="34"/>
    </i>
    <i r="1">
      <x v="44"/>
    </i>
    <i>
      <x v="5"/>
    </i>
    <i r="1">
      <x v="17"/>
    </i>
    <i r="1">
      <x v="29"/>
    </i>
    <i r="1">
      <x v="50"/>
    </i>
    <i>
      <x v="6"/>
    </i>
    <i r="1">
      <x v="5"/>
    </i>
    <i r="1">
      <x v="8"/>
    </i>
    <i r="1">
      <x v="16"/>
    </i>
    <i r="1">
      <x v="18"/>
    </i>
    <i>
      <x v="7"/>
    </i>
    <i r="1">
      <x v="26"/>
    </i>
    <i r="1">
      <x v="46"/>
    </i>
    <i r="1">
      <x v="48"/>
    </i>
    <i r="1">
      <x v="49"/>
    </i>
    <i>
      <x v="8"/>
    </i>
    <i r="1">
      <x v="9"/>
    </i>
    <i r="1">
      <x v="11"/>
    </i>
    <i r="1">
      <x v="21"/>
    </i>
    <i r="1">
      <x v="24"/>
    </i>
    <i r="1">
      <x v="37"/>
    </i>
    <i r="1">
      <x v="47"/>
    </i>
    <i>
      <x v="9"/>
    </i>
    <i r="1">
      <x v="4"/>
    </i>
    <i r="1">
      <x v="28"/>
    </i>
    <i r="1">
      <x v="35"/>
    </i>
    <i r="1">
      <x v="36"/>
    </i>
    <i>
      <x v="10"/>
    </i>
    <i r="1">
      <x v="19"/>
    </i>
    <i r="1">
      <x v="20"/>
    </i>
    <i r="1">
      <x v="25"/>
    </i>
    <i r="1">
      <x v="30"/>
    </i>
    <i r="1">
      <x v="42"/>
    </i>
    <i r="1">
      <x v="43"/>
    </i>
    <i t="grand">
      <x/>
    </i>
  </rowItems>
  <colItems count="1">
    <i/>
  </colItems>
  <dataFields count="1">
    <dataField name="Suma de Porcentaje alcanzado" fld="8" baseField="0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A1B2CB-2C7A-41FC-8942-4F746F312DC8}" name="TablaDinámica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>
  <location ref="A1:B13" firstHeaderRow="1" firstDataRow="1" firstDataCol="1"/>
  <pivotFields count="9">
    <pivotField showAll="0"/>
    <pivotField axis="axisRow" showAll="0">
      <items count="12">
        <item x="1"/>
        <item x="0"/>
        <item x="3"/>
        <item x="5"/>
        <item x="7"/>
        <item x="4"/>
        <item x="2"/>
        <item x="10"/>
        <item x="8"/>
        <item x="9"/>
        <item x="6"/>
        <item t="default"/>
      </items>
    </pivotField>
    <pivotField showAll="0"/>
    <pivotField showAll="0"/>
    <pivotField showAll="0"/>
    <pivotField showAll="0"/>
    <pivotField showAll="0"/>
    <pivotField numFmtId="1" showAll="0"/>
    <pivotField dataField="1" numFmtId="1"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Promedio de Porcentaje alcanzado" fld="8" subtotal="average" baseField="1" baseItem="0" numFmtId="1"/>
  </dataFields>
  <formats count="1">
    <format dxfId="3">
      <pivotArea collapsedLevelsAreSubtotals="1" fieldPosition="0">
        <references count="1">
          <reference field="1" count="0"/>
        </references>
      </pivotArea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A6DA8A-1911-449C-B31D-8CFE4A6B8B10}" name="Tabla1" displayName="Tabla1" ref="A1:W52" totalsRowShown="0" headerRowDxfId="36">
  <autoFilter ref="A1:W52" xr:uid="{E0A6DA8A-1911-449C-B31D-8CFE4A6B8B10}"/>
  <tableColumns count="23">
    <tableColumn id="1" xr3:uid="{A8DF24CE-79F1-47EB-BE27-8B420E3C85F9}" name="N°" dataDxfId="35"/>
    <tableColumn id="2" xr3:uid="{C43C067D-EFF0-4083-938C-77EAD2AF75AA}" name="Dimensión" dataDxfId="34"/>
    <tableColumn id="3" xr3:uid="{AE511FBB-0EEA-40EF-9842-0BE666389E4D}" name="Objetivos" dataDxfId="33"/>
    <tableColumn id="4" xr3:uid="{0AA41C5D-5123-4C23-A319-BB73E92CDD70}" name="Atributo" dataDxfId="32"/>
    <tableColumn id="5" xr3:uid="{DED10CED-412E-453F-BDA9-53A106869179}" name="Índice / Indicador" dataDxfId="31"/>
    <tableColumn id="6" xr3:uid="{0198A032-527B-439D-866B-EC15E0757CE7}" name="Ficha Metodologica " dataCellStyle="Hipervínculo"/>
    <tableColumn id="7" xr3:uid="{341EAE0F-F697-4F11-9FAD-9A98CCE0E667}" name="Criterio 1 ¿El indicador tiene un relación directa y significativa con la definición de gobernanza? Si/No" dataDxfId="30"/>
    <tableColumn id="8" xr3:uid="{876A4D64-D672-49FE-98AC-5C36ED3D2278}" name="Criterio 2 ¿El indicador puede ser mejorado a través de la gestión del Ministerio de Minas y Energía? Si/No" dataDxfId="29"/>
    <tableColumn id="9" xr3:uid="{C4BA6F22-7499-4FBA-9CCD-3CABF85BB558}" name="Criterio 3 ¿El indicador tiene relación con el cumplimiento normativo del sector minero o ambiental ? Si/No" dataDxfId="28"/>
    <tableColumn id="10" xr3:uid="{4A9A41C2-24E2-429B-8719-4B2831214BBC}" name="Criterio 4¿La información requerida para la medición del indicador es generada por el Ministerio de Minas y Energía y/o sus entidades adscritas o vinculadas? Si/NO" dataDxfId="27"/>
    <tableColumn id="11" xr3:uid="{D2C2538C-B33E-48FE-82FD-326844E8283F}" name="Criterio 5 ¿El indicador tiene una frecuencia de medición igual o inferior a un año? Si/No" dataDxfId="26"/>
    <tableColumn id="12" xr3:uid="{F51C3B2B-CB53-47B6-9A4E-DDD4D9F9F79D}" name="Criterio 6¿A partir de los resultados del indicador, el Ministerio de Minas y Energía puede emprender acciones que se concreten en la reglamentación del sector o en la definición de políticas, planes, programas o proyectos? Si/No" dataDxfId="25"/>
    <tableColumn id="13" xr3:uid="{979353D9-08A9-4012-A673-30FD76C8C14E}" name="Criterio 1" dataDxfId="24">
      <calculatedColumnFormula>IF(G2="SI", 5, 1)</calculatedColumnFormula>
    </tableColumn>
    <tableColumn id="14" xr3:uid="{DD829DC0-38D4-4B57-A99B-D1EF8E69DD6B}" name="Criterio 2" dataDxfId="23">
      <calculatedColumnFormula>IF(H2="SI", 5, 1)</calculatedColumnFormula>
    </tableColumn>
    <tableColumn id="15" xr3:uid="{EEC03D55-05E7-4C90-B50E-83639CEA7769}" name="Criterio 3" dataDxfId="22">
      <calculatedColumnFormula>IF(I2="SI", 5, 1)</calculatedColumnFormula>
    </tableColumn>
    <tableColumn id="16" xr3:uid="{0FA4A5C7-7913-4FC2-96D6-92EE5032BB72}" name="Criterio 4" dataDxfId="21">
      <calculatedColumnFormula>IF(J2="SI", 5, 1)</calculatedColumnFormula>
    </tableColumn>
    <tableColumn id="17" xr3:uid="{445CFAF3-26C5-4265-94E7-2D583582686F}" name="Criterio 5" dataDxfId="20">
      <calculatedColumnFormula>IF(K2="SI", 5, 1)</calculatedColumnFormula>
    </tableColumn>
    <tableColumn id="18" xr3:uid="{1B4CB8CD-7576-4EFA-A50A-1312B5965524}" name="Criterio 6" dataDxfId="19">
      <calculatedColumnFormula>IF(L2="SI", 5, 1)</calculatedColumnFormula>
    </tableColumn>
    <tableColumn id="19" xr3:uid="{C66F46B9-023A-4C4D-B566-EBB79EA12CD3}" name="Criterio 7_x000a_Calificación promedio de la dimensión al que corresponde el indicador, en los talleres regionales" dataDxfId="18"/>
    <tableColumn id="20" xr3:uid="{593922EE-9FEF-4D7C-8E1E-5DBC1C474052}" name="Criterio 8_x000a_Calificación promedio del indicador en los talleres regionales" dataDxfId="17"/>
    <tableColumn id="21" xr3:uid="{FE88E2D1-5A01-4C61-B2D8-1677E898176C}" name="Total" dataDxfId="16">
      <calculatedColumnFormula>SUM(M2:T2)</calculatedColumnFormula>
    </tableColumn>
    <tableColumn id="22" xr3:uid="{364E4DC5-AF2B-43D2-A57F-CEE4CCC5D550}" name="Normalización" dataDxfId="15">
      <calculatedColumnFormula>(Tabla1[[#This Row],[Total]]/$U$53)*1000</calculatedColumnFormula>
    </tableColumn>
    <tableColumn id="23" xr3:uid="{EDF7E4A7-5ACD-466C-854F-905C6C6C509A}" name="Aproximación a la unidad" dataDxfId="14">
      <calculatedColumnFormula>ROUND(Tabla1[[#This Row],[Normalización]],0)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3F21825-53C9-4D61-8026-452F6DFE5088}" name="Tabla2" displayName="Tabla2" ref="A1:J54" totalsRowCount="1" headerRowDxfId="13">
  <autoFilter ref="A1:J53" xr:uid="{13F21825-53C9-4D61-8026-452F6DFE5088}"/>
  <tableColumns count="10">
    <tableColumn id="1" xr3:uid="{E5ADDA88-13D8-457A-AFF4-D3A32D657EC4}" name="N°" dataDxfId="12"/>
    <tableColumn id="2" xr3:uid="{0C3D63D6-FC96-4640-AD50-EDD26DDF46DD}" name="Dimensión" dataDxfId="11"/>
    <tableColumn id="3" xr3:uid="{D20D0DD3-A554-4029-9572-10B743EA4A08}" name="Objetivos" dataDxfId="10"/>
    <tableColumn id="4" xr3:uid="{C4432B99-A6AE-48F9-BD0D-8A209C21B04D}" name="Atributo" dataDxfId="9"/>
    <tableColumn id="5" xr3:uid="{A1B26168-A432-4C82-9EAB-550809B6A394}" name="Índice / Indicador" dataDxfId="8"/>
    <tableColumn id="6" xr3:uid="{27CFA83E-C610-4A84-AA98-41781D762475}" name="Resultado del indicador _x000a_(en sus unidades)" dataDxfId="7" dataCellStyle="Porcentaje"/>
    <tableColumn id="7" xr3:uid="{B6AD0A31-B2EC-443A-98FF-B8723066A05A}" name="Puntaje para la gobernanza" totalsRowFunction="sum" dataDxfId="6" totalsRowDxfId="2"/>
    <tableColumn id="8" xr3:uid="{48555891-5B3A-4346-A51B-D77BF5507381}" name="Puntaje máximo del indicador" totalsRowFunction="sum" dataDxfId="5" totalsRowDxfId="1">
      <calculatedColumnFormula>Tabla1[[#This Row],[Aproximación a la unidad]]</calculatedColumnFormula>
    </tableColumn>
    <tableColumn id="9" xr3:uid="{DEE1B35F-D35D-4BA8-BFAE-03EFE4827BAD}" name="Porcentaje alcanzado" totalsRowFunction="average" dataDxfId="4" totalsRowDxfId="0" dataCellStyle="Porcentaje">
      <calculatedColumnFormula>G2/H2*100</calculatedColumnFormula>
    </tableColumn>
    <tableColumn id="10" xr3:uid="{2FD814FE-9E97-4024-8889-C71BA29A07EA}" name="Columna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inenergia.gov.co/es/ministerio/gesti&#243;n/presupuesto/presupuesto-general-asignado/%20%20Tabla%2012.%20Revisi&#243;n%20asignaciones%20presupuestales%20%20Producto%20E:%20Documento%20t&#233;cnico%20que%20contenga%20la%20metodolog&#237;a%20ajustada%20y%20validada%20para%20la%20definici&#243;n%20y%20estimaci&#243;n%20de%20los%20indicadores%20de%20gobernanza%20ambiental%20del%20sector%20minero%20energ&#233;tico%20y%20el%20desarrollo%20metodol&#243;gico%20para%20el%20c&#225;lculo%20de%20los%20indicadores%20de%20gobernanza%20para%20el%20a&#241;o%202023." TargetMode="External"/><Relationship Id="rId3" Type="http://schemas.openxmlformats.org/officeDocument/2006/relationships/hyperlink" Target="../../../:w:/g/personal/ancasallas_minenergia_gov_co/EZlPLBjzWCdGi1JX_D2NUaUBIRpxWJlCZYtTNlIUDkJySA?e=LcKHxM" TargetMode="External"/><Relationship Id="rId7" Type="http://schemas.openxmlformats.org/officeDocument/2006/relationships/hyperlink" Target="https://www.minenergia.gov.co/es/misional/gesti%C3%B3n-social-y-ambiental/derechos-humanos/" TargetMode="External"/><Relationship Id="rId2" Type="http://schemas.openxmlformats.org/officeDocument/2006/relationships/hyperlink" Target="../../../:w:/g/personal/ancasallas_minenergia_gov_co/EZlPLBjzWCdGi1JX_D2NUaUBIRpxWJlCZYtTNlIUDkJySA?e=LcKHxM" TargetMode="External"/><Relationship Id="rId1" Type="http://schemas.openxmlformats.org/officeDocument/2006/relationships/hyperlink" Target="../../../:w:/g/personal/ancasallas_minenergia_gov_co/EZlPLBjzWCdGi1JX_D2NUaUBIRpxWJlCZYtTNlIUDkJySA?e=LcKHxM" TargetMode="External"/><Relationship Id="rId6" Type="http://schemas.openxmlformats.org/officeDocument/2006/relationships/hyperlink" Target="https://www.minenergia.gov.co/es/misional/gesti%C3%B3n-social-y-ambiental/derechos-humanos/" TargetMode="External"/><Relationship Id="rId11" Type="http://schemas.openxmlformats.org/officeDocument/2006/relationships/hyperlink" Target="https://alertastempranas.defensoria.gov.co/Alerta/Tablero" TargetMode="External"/><Relationship Id="rId5" Type="http://schemas.openxmlformats.org/officeDocument/2006/relationships/hyperlink" Target="../../../:w:/g/personal/ancasallas_minenergia_gov_co/EZlPLBjzWCdGi1JX_D2NUaUBIRpxWJlCZYtTNlIUDkJySA?e=LcKHxM" TargetMode="External"/><Relationship Id="rId10" Type="http://schemas.openxmlformats.org/officeDocument/2006/relationships/hyperlink" Target="../../../:w:/g/personal/ancasallas_minenergia_gov_co/EZlPLBjzWCdGi1JX_D2NUaUBIRpxWJlCZYtTNlIUDkJySA?e=LcKHxM" TargetMode="External"/><Relationship Id="rId4" Type="http://schemas.openxmlformats.org/officeDocument/2006/relationships/hyperlink" Target="../../../:w:/g/personal/ancasallas_minenergia_gov_co/EZlPLBjzWCdGi1JX_D2NUaUBIRpxWJlCZYtTNlIUDkJySA?e=LcKHxM" TargetMode="External"/><Relationship Id="rId9" Type="http://schemas.openxmlformats.org/officeDocument/2006/relationships/hyperlink" Target="../../../:w:/g/personal/ancasallas_minenergia_gov_co/EZlPLBjzWCdGi1JX_D2NUaUBIRpxWJlCZYtTNlIUDkJySA?e=LcKHxM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../../../:w:/g/personal/ancasallas_minenergia_gov_co/Ecwkh8S5onpEkpS7cu9jgn0BQur2n5n6L3WnVPcORco1Nw?e=iA5Wi7" TargetMode="External"/><Relationship Id="rId18" Type="http://schemas.openxmlformats.org/officeDocument/2006/relationships/hyperlink" Target="../../../:w:/g/personal/ancasallas_minenergia_gov_co/Eek38ViGlV5DtkjlyfSA1bkBUSDyHXOcTjfY5Ja9admIiQ?e=WnWZY0" TargetMode="External"/><Relationship Id="rId26" Type="http://schemas.openxmlformats.org/officeDocument/2006/relationships/hyperlink" Target="../../../:w:/g/personal/ancasallas_minenergia_gov_co/Ecv5sv_cAFZBlAUcK2GP5gIBO1ze_bVGScZyFONkX1HYZQ?e=AIfZui" TargetMode="External"/><Relationship Id="rId39" Type="http://schemas.openxmlformats.org/officeDocument/2006/relationships/hyperlink" Target="../../../:w:/g/personal/ancasallas_minenergia_gov_co/EZl_Nl6SIY9Fgbo-W1q8MYMBJPvIlYFkHtru7OnKhEDCEA?e=e309QF" TargetMode="External"/><Relationship Id="rId21" Type="http://schemas.openxmlformats.org/officeDocument/2006/relationships/hyperlink" Target="../../../:w:/g/personal/ancasallas_minenergia_gov_co/ERH8p9E6R41DltE5UtsmEGEBmHibaBHOBSa6j-81J3Hmxw?e=Gtg0sd" TargetMode="External"/><Relationship Id="rId34" Type="http://schemas.openxmlformats.org/officeDocument/2006/relationships/hyperlink" Target="../../../:w:/g/personal/ancasallas_minenergia_gov_co/ERl1d1HR9tNHjsGJQsiLaKwB8cl5sIwqB2rjTED5i-1j0Q?e=g8OxRE" TargetMode="External"/><Relationship Id="rId42" Type="http://schemas.openxmlformats.org/officeDocument/2006/relationships/hyperlink" Target="../../../:w:/g/personal/ancasallas_minenergia_gov_co/EdelaFFgqUJMtWW2tMuZeJYB9-_hbTfhfWL8B1hwPdOOwQ?e=rOAsV6" TargetMode="External"/><Relationship Id="rId47" Type="http://schemas.openxmlformats.org/officeDocument/2006/relationships/hyperlink" Target="../../../:w:/g/personal/ancasallas_minenergia_gov_co/EZ8U4ep3nfRJoBGvL2dCqaUBNB5vXMkRhSYnx3MTO_JZSQ?e=XjvnG9" TargetMode="External"/><Relationship Id="rId50" Type="http://schemas.openxmlformats.org/officeDocument/2006/relationships/hyperlink" Target="../../../:w:/g/personal/ancasallas_minenergia_gov_co/EbwTS7m11lNIpDCg2NvVkTcBCEFTuap9csEpsbm8jQtskw?e=RkKCqG" TargetMode="External"/><Relationship Id="rId7" Type="http://schemas.openxmlformats.org/officeDocument/2006/relationships/hyperlink" Target="../../../:w:/g/personal/ancasallas_minenergia_gov_co/EblkRacF9MtMgQtSlnUqFOEBy4JL05bZqDpnas-9_2HNkQ?e=EUcZMH" TargetMode="External"/><Relationship Id="rId2" Type="http://schemas.openxmlformats.org/officeDocument/2006/relationships/hyperlink" Target="../../../:w:/g/personal/ancasallas_minenergia_gov_co/EbAsw0mP2jhIqLTPhaaTlyABnIxNDzNgluLocy0OhzAEdg?e=0FvJdL" TargetMode="External"/><Relationship Id="rId16" Type="http://schemas.openxmlformats.org/officeDocument/2006/relationships/hyperlink" Target="../../../:w:/g/personal/ancasallas_minenergia_gov_co/EZMBNKg_5ghGm1VkvaJISZkBAAZO8mGMcF1XH_xuLVH0HA?e=zBopSg" TargetMode="External"/><Relationship Id="rId29" Type="http://schemas.openxmlformats.org/officeDocument/2006/relationships/hyperlink" Target="../../../:w:/g/personal/ancasallas_minenergia_gov_co/EflF40nsfD1Kjt95Nms5xRkBHkV81JVzlr_BxITkKTq8lw?e=GSSDRR" TargetMode="External"/><Relationship Id="rId11" Type="http://schemas.openxmlformats.org/officeDocument/2006/relationships/hyperlink" Target="../../../:w:/g/personal/ancasallas_minenergia_gov_co/ESfD3RZTZKZGpMODy4GP-QUBDgfqghB9lB4gUnywXv5axg?e=QDjwDV" TargetMode="External"/><Relationship Id="rId24" Type="http://schemas.openxmlformats.org/officeDocument/2006/relationships/hyperlink" Target="../../../:w:/g/personal/ancasallas_minenergia_gov_co/EZ583i63RERBiZKOot4r2_oBBIYJLqfH7mxTCxJ_rYmlVA?e=9j9RzP" TargetMode="External"/><Relationship Id="rId32" Type="http://schemas.openxmlformats.org/officeDocument/2006/relationships/hyperlink" Target="../../../:w:/g/personal/ancasallas_minenergia_gov_co/EXq4DI7sEnhOmV3WPh6Pam0BWf8W3v3IxKVC-7d2YW71iw?e=Yhnc4S" TargetMode="External"/><Relationship Id="rId37" Type="http://schemas.openxmlformats.org/officeDocument/2006/relationships/hyperlink" Target="../../../:w:/g/personal/ancasallas_minenergia_gov_co/EY2D8D2ivdJMsI9Jxlmn6e8B14LKnOAWuMS3LraL0BXgeg?e=vOW5mM" TargetMode="External"/><Relationship Id="rId40" Type="http://schemas.openxmlformats.org/officeDocument/2006/relationships/hyperlink" Target="../../../:w:/g/personal/ancasallas_minenergia_gov_co/EdhgYdeKVUpErn6rxRTfCTUB1hkpD_5OAlOyrzG8iW9Z6w?e=8cbfHa" TargetMode="External"/><Relationship Id="rId45" Type="http://schemas.openxmlformats.org/officeDocument/2006/relationships/hyperlink" Target="../../../:w:/g/personal/ancasallas_minenergia_gov_co/EdS2VO4V3T9EmR-c1fDlKBYBURhsMKpYgbGGPE0TJKAcSA?e=d2ZmD9" TargetMode="External"/><Relationship Id="rId5" Type="http://schemas.openxmlformats.org/officeDocument/2006/relationships/hyperlink" Target="../../../:w:/g/personal/ancasallas_minenergia_gov_co/EcRtuS84IypJrYJLY9sYVRkBMBGCIrG-ApRwpZDhtX1L6g?e=ljOmZo" TargetMode="External"/><Relationship Id="rId15" Type="http://schemas.openxmlformats.org/officeDocument/2006/relationships/hyperlink" Target="../../../:w:/g/personal/ancasallas_minenergia_gov_co/ETcb2Q1qty9Jky20maLDyhoB1A3WzMQ4uMT9WqFshzaKow?e=PiScWL" TargetMode="External"/><Relationship Id="rId23" Type="http://schemas.openxmlformats.org/officeDocument/2006/relationships/hyperlink" Target="../../../:w:/g/personal/ancasallas_minenergia_gov_co/Ea7Y5Z6SOfhDtqsPqN2bUn0BYuRf0ovbkP-D_ew7S4m2Ew?e=5XFhFM" TargetMode="External"/><Relationship Id="rId28" Type="http://schemas.openxmlformats.org/officeDocument/2006/relationships/hyperlink" Target="../../../:w:/g/personal/ancasallas_minenergia_gov_co/EVzkTj9D26lCsgEGl8DeHCgB8zS3a3WSqhaarJvCu9Aqtg?e=KrinTP" TargetMode="External"/><Relationship Id="rId36" Type="http://schemas.openxmlformats.org/officeDocument/2006/relationships/hyperlink" Target="../../../:w:/g/personal/ancasallas_minenergia_gov_co/EZvv6pJhwQxPtUK8uIc_YWYBkxcWK4BUARon_iunubmxFg?e=6ty9z1" TargetMode="External"/><Relationship Id="rId49" Type="http://schemas.openxmlformats.org/officeDocument/2006/relationships/hyperlink" Target="../../../:w:/g/personal/ancasallas_minenergia_gov_co/EdBXcC3405VHsVd_NAmz_MQBDoVVFL2UqRTTCkm0npeOLg?e=6Ee6il" TargetMode="External"/><Relationship Id="rId10" Type="http://schemas.openxmlformats.org/officeDocument/2006/relationships/hyperlink" Target="../../../:w:/g/personal/ancasallas_minenergia_gov_co/EbfmEWEiA65EjWvxgytaw_wB789HIyWqsKV6yL6QrdkCEQ?e=y9GdcA" TargetMode="External"/><Relationship Id="rId19" Type="http://schemas.openxmlformats.org/officeDocument/2006/relationships/hyperlink" Target="../../../:w:/g/personal/ancasallas_minenergia_gov_co/EXYjY_YoO59Lkn1x-p4Rj54B06fgui-wRqFBSz8Me1FkPA?e=z7ILbi" TargetMode="External"/><Relationship Id="rId31" Type="http://schemas.openxmlformats.org/officeDocument/2006/relationships/hyperlink" Target="../../../:w:/g/personal/ancasallas_minenergia_gov_co/EYVbjEau9EtBsOzxSA_KHhkBRz_2azcGIBZdqOl-igCmGQ?e=DqfbWo" TargetMode="External"/><Relationship Id="rId44" Type="http://schemas.openxmlformats.org/officeDocument/2006/relationships/hyperlink" Target="../../../:w:/g/personal/ancasallas_minenergia_gov_co/EdM0SGU-dINJhOFEpXsrP6MBeRbR-8NscohlQXIfXsE9-Q?e=CMoGKH" TargetMode="External"/><Relationship Id="rId52" Type="http://schemas.openxmlformats.org/officeDocument/2006/relationships/table" Target="../tables/table1.xml"/><Relationship Id="rId4" Type="http://schemas.openxmlformats.org/officeDocument/2006/relationships/hyperlink" Target="../../../:w:/g/personal/ancasallas_minenergia_gov_co/Eaix1W_YL1hGi_QQF3ZbtMgBvg_Xe5xKYRQGQZOXJ1mi7Q?e=Bwo8qe" TargetMode="External"/><Relationship Id="rId9" Type="http://schemas.openxmlformats.org/officeDocument/2006/relationships/hyperlink" Target="../../../:w:/g/personal/ancasallas_minenergia_gov_co/Ecj2SyRzmkJOugJo5NOMMQABXjmDJSZo7NAs6oNfLI6ZNA?e=ueVDn5" TargetMode="External"/><Relationship Id="rId14" Type="http://schemas.openxmlformats.org/officeDocument/2006/relationships/hyperlink" Target="../../../:w:/g/personal/ancasallas_minenergia_gov_co/EUhNyaPgo_NMi_s9LznOvfsB5A9_a8ENewJb4OIQ02TJ3A?e=WVkHbI" TargetMode="External"/><Relationship Id="rId22" Type="http://schemas.openxmlformats.org/officeDocument/2006/relationships/hyperlink" Target="../../../:w:/g/personal/ancasallas_minenergia_gov_co/EYIxMjC36CVFp657NCCeI5YB-GuqMcRFujr5N6novSD-8Q?e=qBmZs7" TargetMode="External"/><Relationship Id="rId27" Type="http://schemas.openxmlformats.org/officeDocument/2006/relationships/hyperlink" Target="../../../:w:/g/personal/ancasallas_minenergia_gov_co/ETZjGJiUbBBMjNPVnexL4jIBfPlPay5BFjduLn6LrChWGg?e=d1TPyc" TargetMode="External"/><Relationship Id="rId30" Type="http://schemas.openxmlformats.org/officeDocument/2006/relationships/hyperlink" Target="../../../:w:/r/personal/ancasallas_minenergia_gov_co/Documents/Datos%20adjuntos/30.%20Participaci%C3%B3n%20de%20las%20FNCER%20en%20la%20matriz%20energ%C3%A9tica%20el%C3%A9ctrica.docx?d=w267b6f52024e45918cc2a8eb1188b50f&amp;csf=1&amp;web=1&amp;e=aoUWMq" TargetMode="External"/><Relationship Id="rId35" Type="http://schemas.openxmlformats.org/officeDocument/2006/relationships/hyperlink" Target="../../../:w:/g/personal/ancasallas_minenergia_gov_co/EeJxMjp-mh9CnqEbaTXYKmwBQj_-lLo3bkjUcwIAi9LpSw?e=PUGyi3" TargetMode="External"/><Relationship Id="rId43" Type="http://schemas.openxmlformats.org/officeDocument/2006/relationships/hyperlink" Target="../../../:w:/g/personal/ancasallas_minenergia_gov_co/EQmJ8OFz-41Lte5VCBoB5_UB6WatHMnyoLuryNo9RnoKBw?e=KOI66k" TargetMode="External"/><Relationship Id="rId48" Type="http://schemas.openxmlformats.org/officeDocument/2006/relationships/hyperlink" Target="../../../:w:/g/personal/ancasallas_minenergia_gov_co/EfjYw60eIU9Lt8Z1RMSMWXIB26ryQ0enSaK7bf9xmpFOPw?e=bJRP9V" TargetMode="External"/><Relationship Id="rId8" Type="http://schemas.openxmlformats.org/officeDocument/2006/relationships/hyperlink" Target="../../../:w:/r/personal/ancasallas_minenergia_gov_co/Documents/Datos%20adjuntos/08.%20Acceso%20a%20justicia.docx?d=w9e44ee6992624f1f9301875c4a32f0b1&amp;csf=1&amp;web=1&amp;e=VSTwhE" TargetMode="External"/><Relationship Id="rId51" Type="http://schemas.openxmlformats.org/officeDocument/2006/relationships/hyperlink" Target="../../../:w:/g/personal/ancasallas_minenergia_gov_co/Ef0f1V8EaDxBoxe3mr729-sBXKLziXJsOFH4sZdwwl6_mA?e=CvN6dL" TargetMode="External"/><Relationship Id="rId3" Type="http://schemas.openxmlformats.org/officeDocument/2006/relationships/hyperlink" Target="../../../:w:/g/personal/ancasallas_minenergia_gov_co/ES_qUrmuoa9FiDGzKyvAF-4BxmIUwaKsl6NWF_tlaF9aaQ?e=nYcR2x" TargetMode="External"/><Relationship Id="rId12" Type="http://schemas.openxmlformats.org/officeDocument/2006/relationships/hyperlink" Target="../../../:w:/g/personal/ancasallas_minenergia_gov_co/Ea2grvVu4RRMu8LtdJpmRMQBnNr9pJtJQKhDQGgtzMQOBQ?e=UwIs9q" TargetMode="External"/><Relationship Id="rId17" Type="http://schemas.openxmlformats.org/officeDocument/2006/relationships/hyperlink" Target="../../../:w:/g/personal/ancasallas_minenergia_gov_co/EVOZnWD8PwtDpIRo5glY7FwBHE8BicZFly4vNu-SgraG6A?e=H4c7cA" TargetMode="External"/><Relationship Id="rId25" Type="http://schemas.openxmlformats.org/officeDocument/2006/relationships/hyperlink" Target="../../../:w:/g/personal/ancasallas_minenergia_gov_co/EdxBGkmNrL1KmEGAXL3J884BVUWlOAX_Kp8nEkRTe5RgLQ?e=0IUo9p" TargetMode="External"/><Relationship Id="rId33" Type="http://schemas.openxmlformats.org/officeDocument/2006/relationships/hyperlink" Target="../../../:w:/g/personal/ancasallas_minenergia_gov_co/EfOT6XRnH49IlTW9hWnzR7kBj9EABb21-Bx9gGOkPAcyDg?e=2Ewl2j" TargetMode="External"/><Relationship Id="rId38" Type="http://schemas.openxmlformats.org/officeDocument/2006/relationships/hyperlink" Target="../../../:w:/g/personal/ancasallas_minenergia_gov_co/EftG30r2n31EnMQ5ymF1qHsBNv_0zbczswrtwZr2_wlpGQ?e=ZiZRtz" TargetMode="External"/><Relationship Id="rId46" Type="http://schemas.openxmlformats.org/officeDocument/2006/relationships/hyperlink" Target="../../../:w:/g/personal/ancasallas_minenergia_gov_co/EYBF0T0n1gFHjznOmU8DGmQBrGp_q3OrLUcBFCekvMKYKQ?e=GTen6g" TargetMode="External"/><Relationship Id="rId20" Type="http://schemas.openxmlformats.org/officeDocument/2006/relationships/hyperlink" Target="../../../:w:/g/personal/ancasallas_minenergia_gov_co/Eeq9eN-upd5Iq90tXp4ylmcBcd6G8Z8V8q2wECwYhGspzw?e=hxsGoM" TargetMode="External"/><Relationship Id="rId41" Type="http://schemas.openxmlformats.org/officeDocument/2006/relationships/hyperlink" Target="../../../:w:/g/personal/ancasallas_minenergia_gov_co/EZwQGvg99dFBhAb09UF2CmYBpAvpBNN8Qh9MRR1qHQkb1g?e=rpBzEW" TargetMode="External"/><Relationship Id="rId1" Type="http://schemas.openxmlformats.org/officeDocument/2006/relationships/hyperlink" Target="../../../:w:/g/personal/ancasallas_minenergia_gov_co/EZlPLBjzWCdGi1JX_D2NUaUBIRpxWJlCZYtTNlIUDkJySA?e=LcKHxM" TargetMode="External"/><Relationship Id="rId6" Type="http://schemas.openxmlformats.org/officeDocument/2006/relationships/hyperlink" Target="../../../:w:/g/personal/ancasallas_minenergia_gov_co/EV0og24SjdpHot55opqbQWAB5gSy8v8QWCnPOagHMIcb6A?e=MBOfl0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45FE5-C3AA-468B-B174-4CA18A52EDE8}">
  <dimension ref="A1:Z902"/>
  <sheetViews>
    <sheetView zoomScale="111" zoomScaleNormal="80" workbookViewId="0">
      <pane ySplit="3" topLeftCell="A687" activePane="bottomLeft" state="frozen"/>
      <selection pane="bottomLeft" activeCell="B693" sqref="B693"/>
    </sheetView>
  </sheetViews>
  <sheetFormatPr baseColWidth="10" defaultRowHeight="14.4" x14ac:dyDescent="0.3"/>
  <cols>
    <col min="1" max="1" width="28.33203125" bestFit="1" customWidth="1"/>
    <col min="2" max="2" width="69.77734375" bestFit="1" customWidth="1"/>
    <col min="3" max="3" width="24.109375" hidden="1" customWidth="1"/>
    <col min="4" max="4" width="21.109375" hidden="1" customWidth="1"/>
    <col min="5" max="5" width="16.33203125" hidden="1" customWidth="1"/>
    <col min="6" max="6" width="23.44140625" hidden="1" customWidth="1"/>
    <col min="7" max="7" width="22.21875" hidden="1" customWidth="1"/>
    <col min="8" max="8" width="71.6640625" hidden="1" customWidth="1"/>
    <col min="9" max="9" width="28.77734375" hidden="1" customWidth="1"/>
    <col min="10" max="10" width="22.5546875" hidden="1" customWidth="1"/>
    <col min="11" max="11" width="21.77734375" hidden="1" customWidth="1"/>
    <col min="12" max="12" width="34.88671875" hidden="1" customWidth="1"/>
    <col min="13" max="13" width="19.5546875" hidden="1" customWidth="1"/>
    <col min="14" max="14" width="17.88671875" hidden="1" customWidth="1"/>
    <col min="15" max="15" width="38.5546875" hidden="1" customWidth="1"/>
    <col min="16" max="16" width="19.21875" hidden="1" customWidth="1"/>
    <col min="17" max="17" width="19.44140625" hidden="1" customWidth="1"/>
    <col min="18" max="18" width="67.44140625" hidden="1" customWidth="1"/>
    <col min="19" max="19" width="61.33203125" hidden="1" customWidth="1"/>
    <col min="20" max="22" width="18.5546875" hidden="1" customWidth="1"/>
    <col min="23" max="23" width="127.77734375" customWidth="1"/>
    <col min="24" max="24" width="27.109375" customWidth="1"/>
  </cols>
  <sheetData>
    <row r="1" spans="1:24" s="1" customFormat="1" ht="34.950000000000003" customHeight="1" x14ac:dyDescent="0.3">
      <c r="A1" s="158" t="s">
        <v>0</v>
      </c>
      <c r="B1" s="158"/>
      <c r="C1" s="158"/>
      <c r="D1" s="158"/>
      <c r="E1" s="158"/>
      <c r="F1" s="158"/>
      <c r="G1" s="158"/>
      <c r="H1" s="158" t="s">
        <v>1</v>
      </c>
      <c r="I1" s="158"/>
      <c r="J1" s="158"/>
      <c r="K1" s="158"/>
      <c r="L1" s="158"/>
      <c r="M1" s="158"/>
      <c r="N1" s="158"/>
      <c r="O1" s="159" t="s">
        <v>2</v>
      </c>
      <c r="P1" s="159"/>
      <c r="Q1" s="159"/>
      <c r="R1" s="159"/>
      <c r="S1" s="159"/>
      <c r="T1" s="159"/>
      <c r="U1" s="156" t="s">
        <v>3</v>
      </c>
      <c r="V1" s="157"/>
      <c r="W1" s="157"/>
      <c r="X1" s="157"/>
    </row>
    <row r="2" spans="1:24" ht="24" customHeight="1" x14ac:dyDescent="0.3">
      <c r="A2" s="80" t="s">
        <v>4</v>
      </c>
      <c r="B2" s="80" t="s">
        <v>5</v>
      </c>
      <c r="C2" s="80" t="s">
        <v>6</v>
      </c>
      <c r="D2" s="80" t="s">
        <v>7</v>
      </c>
      <c r="E2" s="80" t="s">
        <v>8</v>
      </c>
      <c r="F2" s="80" t="s">
        <v>9</v>
      </c>
      <c r="G2" s="80" t="s">
        <v>10</v>
      </c>
      <c r="H2" s="80" t="s">
        <v>11</v>
      </c>
      <c r="I2" s="80" t="s">
        <v>12</v>
      </c>
      <c r="J2" s="80" t="s">
        <v>13</v>
      </c>
      <c r="K2" s="80" t="s">
        <v>14</v>
      </c>
      <c r="L2" s="80" t="s">
        <v>15</v>
      </c>
      <c r="M2" s="80" t="s">
        <v>16</v>
      </c>
      <c r="N2" s="80" t="s">
        <v>17</v>
      </c>
      <c r="O2" s="80" t="s">
        <v>127</v>
      </c>
      <c r="P2" s="80" t="s">
        <v>128</v>
      </c>
      <c r="Q2" s="80" t="s">
        <v>129</v>
      </c>
      <c r="R2" s="80" t="s">
        <v>130</v>
      </c>
      <c r="S2" s="80" t="s">
        <v>18</v>
      </c>
      <c r="T2" s="80" t="s">
        <v>19</v>
      </c>
      <c r="U2" s="80" t="s">
        <v>22</v>
      </c>
      <c r="V2" s="80" t="s">
        <v>23</v>
      </c>
      <c r="W2" s="80" t="s">
        <v>20</v>
      </c>
      <c r="X2" s="80" t="s">
        <v>21</v>
      </c>
    </row>
    <row r="3" spans="1:24" s="7" customFormat="1" ht="38.4" customHeight="1" x14ac:dyDescent="0.3">
      <c r="A3" s="3" t="s">
        <v>27</v>
      </c>
      <c r="B3" s="3" t="s">
        <v>28</v>
      </c>
      <c r="C3" s="3" t="s">
        <v>29</v>
      </c>
      <c r="D3" s="4"/>
      <c r="E3" s="3" t="s">
        <v>30</v>
      </c>
      <c r="F3" s="3" t="s">
        <v>31</v>
      </c>
      <c r="G3" s="3" t="s">
        <v>32</v>
      </c>
      <c r="H3" s="3" t="s">
        <v>33</v>
      </c>
      <c r="I3" s="3" t="s">
        <v>34</v>
      </c>
      <c r="J3" s="3" t="s">
        <v>35</v>
      </c>
      <c r="K3" s="3" t="s">
        <v>36</v>
      </c>
      <c r="L3" s="3" t="s">
        <v>37</v>
      </c>
      <c r="M3" s="3" t="s">
        <v>38</v>
      </c>
      <c r="N3" s="3"/>
      <c r="O3" s="3" t="s">
        <v>39</v>
      </c>
      <c r="P3" s="3" t="s">
        <v>40</v>
      </c>
      <c r="Q3" s="5"/>
      <c r="R3" s="3" t="s">
        <v>41</v>
      </c>
      <c r="S3" s="5"/>
      <c r="T3" s="3" t="s">
        <v>42</v>
      </c>
      <c r="U3" s="5"/>
      <c r="V3" s="5"/>
      <c r="W3" s="91" t="s">
        <v>43</v>
      </c>
      <c r="X3" s="3" t="s">
        <v>44</v>
      </c>
    </row>
    <row r="4" spans="1:24" s="8" customFormat="1" x14ac:dyDescent="0.3">
      <c r="A4" t="s">
        <v>68</v>
      </c>
      <c r="B4" t="s">
        <v>69</v>
      </c>
      <c r="C4" t="s">
        <v>47</v>
      </c>
      <c r="D4" t="s">
        <v>48</v>
      </c>
      <c r="E4" t="s">
        <v>49</v>
      </c>
      <c r="F4" t="s">
        <v>50</v>
      </c>
      <c r="G4">
        <v>2023</v>
      </c>
      <c r="H4" t="s">
        <v>304</v>
      </c>
      <c r="I4" t="s">
        <v>299</v>
      </c>
      <c r="J4" t="s">
        <v>305</v>
      </c>
      <c r="K4"/>
      <c r="L4" t="s">
        <v>232</v>
      </c>
      <c r="M4" t="s">
        <v>307</v>
      </c>
      <c r="N4" t="s">
        <v>306</v>
      </c>
      <c r="O4" t="s">
        <v>298</v>
      </c>
      <c r="P4">
        <v>2023</v>
      </c>
      <c r="Q4" t="s">
        <v>301</v>
      </c>
      <c r="R4" t="s">
        <v>294</v>
      </c>
      <c r="S4" t="s">
        <v>296</v>
      </c>
      <c r="T4"/>
      <c r="U4" t="s">
        <v>60</v>
      </c>
      <c r="V4" t="s">
        <v>61</v>
      </c>
      <c r="W4" t="s">
        <v>588</v>
      </c>
      <c r="X4">
        <v>3</v>
      </c>
    </row>
    <row r="5" spans="1:24" s="8" customFormat="1" x14ac:dyDescent="0.3">
      <c r="A5" t="s">
        <v>68</v>
      </c>
      <c r="B5" t="s">
        <v>69</v>
      </c>
      <c r="C5" t="s">
        <v>47</v>
      </c>
      <c r="D5" t="s">
        <v>48</v>
      </c>
      <c r="E5" t="s">
        <v>49</v>
      </c>
      <c r="F5" t="s">
        <v>50</v>
      </c>
      <c r="G5">
        <v>2023</v>
      </c>
      <c r="H5" t="s">
        <v>304</v>
      </c>
      <c r="I5" t="s">
        <v>299</v>
      </c>
      <c r="J5" t="s">
        <v>305</v>
      </c>
      <c r="K5"/>
      <c r="L5" t="s">
        <v>232</v>
      </c>
      <c r="M5" t="s">
        <v>307</v>
      </c>
      <c r="N5" t="s">
        <v>306</v>
      </c>
      <c r="O5" t="s">
        <v>299</v>
      </c>
      <c r="P5" t="s">
        <v>300</v>
      </c>
      <c r="Q5" t="s">
        <v>301</v>
      </c>
      <c r="R5" t="s">
        <v>295</v>
      </c>
      <c r="S5" t="s">
        <v>297</v>
      </c>
      <c r="T5"/>
      <c r="U5" t="s">
        <v>60</v>
      </c>
      <c r="V5" t="s">
        <v>61</v>
      </c>
      <c r="W5" t="s">
        <v>230</v>
      </c>
      <c r="X5">
        <v>5</v>
      </c>
    </row>
    <row r="6" spans="1:24" s="8" customFormat="1" x14ac:dyDescent="0.3">
      <c r="A6" t="s">
        <v>68</v>
      </c>
      <c r="B6" t="s">
        <v>69</v>
      </c>
      <c r="C6" s="64" t="s">
        <v>47</v>
      </c>
      <c r="D6" s="64" t="s">
        <v>48</v>
      </c>
      <c r="E6" s="64" t="s">
        <v>49</v>
      </c>
      <c r="F6" s="64" t="s">
        <v>50</v>
      </c>
      <c r="G6" s="64">
        <v>2023</v>
      </c>
      <c r="H6" s="64" t="s">
        <v>304</v>
      </c>
      <c r="I6" s="64" t="s">
        <v>299</v>
      </c>
      <c r="J6" s="64" t="s">
        <v>305</v>
      </c>
      <c r="K6" s="64"/>
      <c r="L6" s="64" t="s">
        <v>232</v>
      </c>
      <c r="M6" s="64" t="s">
        <v>307</v>
      </c>
      <c r="N6" s="64" t="s">
        <v>306</v>
      </c>
      <c r="O6" s="64" t="s">
        <v>299</v>
      </c>
      <c r="P6" s="64" t="s">
        <v>300</v>
      </c>
      <c r="Q6" s="64" t="s">
        <v>301</v>
      </c>
      <c r="R6" s="64" t="s">
        <v>302</v>
      </c>
      <c r="S6" s="64" t="s">
        <v>303</v>
      </c>
      <c r="T6" s="64"/>
      <c r="U6" s="64" t="s">
        <v>60</v>
      </c>
      <c r="V6" s="64" t="s">
        <v>62</v>
      </c>
      <c r="W6" s="64" t="s">
        <v>311</v>
      </c>
      <c r="X6" s="64">
        <f>X4/X5*100</f>
        <v>60</v>
      </c>
    </row>
    <row r="7" spans="1:24" s="8" customFormat="1" x14ac:dyDescent="0.3">
      <c r="A7" t="s">
        <v>68</v>
      </c>
      <c r="B7" t="s">
        <v>69</v>
      </c>
      <c r="C7" t="s">
        <v>47</v>
      </c>
      <c r="D7" t="s">
        <v>48</v>
      </c>
      <c r="E7" t="s">
        <v>49</v>
      </c>
      <c r="F7" t="s">
        <v>50</v>
      </c>
      <c r="G7">
        <v>2023</v>
      </c>
      <c r="H7" t="s">
        <v>304</v>
      </c>
      <c r="I7" t="s">
        <v>299</v>
      </c>
      <c r="J7" t="s">
        <v>305</v>
      </c>
      <c r="K7"/>
      <c r="L7" t="s">
        <v>232</v>
      </c>
      <c r="M7" t="s">
        <v>307</v>
      </c>
      <c r="N7" t="s">
        <v>306</v>
      </c>
      <c r="O7" t="s">
        <v>298</v>
      </c>
      <c r="P7"/>
      <c r="Q7"/>
      <c r="R7" t="s">
        <v>309</v>
      </c>
      <c r="S7" t="s">
        <v>319</v>
      </c>
      <c r="T7"/>
      <c r="U7" t="s">
        <v>60</v>
      </c>
      <c r="V7" t="s">
        <v>61</v>
      </c>
      <c r="W7" t="s">
        <v>312</v>
      </c>
      <c r="X7">
        <v>0</v>
      </c>
    </row>
    <row r="8" spans="1:24" s="8" customFormat="1" x14ac:dyDescent="0.3">
      <c r="A8" t="s">
        <v>68</v>
      </c>
      <c r="B8" t="s">
        <v>69</v>
      </c>
      <c r="C8" t="s">
        <v>47</v>
      </c>
      <c r="D8" t="s">
        <v>48</v>
      </c>
      <c r="E8" t="s">
        <v>49</v>
      </c>
      <c r="F8" t="s">
        <v>50</v>
      </c>
      <c r="G8">
        <v>2023</v>
      </c>
      <c r="H8" t="s">
        <v>304</v>
      </c>
      <c r="I8" t="s">
        <v>299</v>
      </c>
      <c r="J8" t="s">
        <v>305</v>
      </c>
      <c r="K8"/>
      <c r="L8" t="s">
        <v>232</v>
      </c>
      <c r="M8"/>
      <c r="N8" t="s">
        <v>306</v>
      </c>
      <c r="O8" t="s">
        <v>298</v>
      </c>
      <c r="P8"/>
      <c r="Q8"/>
      <c r="R8" t="s">
        <v>308</v>
      </c>
      <c r="S8" t="s">
        <v>318</v>
      </c>
      <c r="T8"/>
      <c r="U8" t="s">
        <v>60</v>
      </c>
      <c r="V8" t="s">
        <v>61</v>
      </c>
      <c r="W8" t="s">
        <v>313</v>
      </c>
      <c r="X8">
        <v>0</v>
      </c>
    </row>
    <row r="9" spans="1:24" s="8" customFormat="1" x14ac:dyDescent="0.3">
      <c r="A9" t="s">
        <v>68</v>
      </c>
      <c r="B9" t="s">
        <v>69</v>
      </c>
      <c r="C9" t="s">
        <v>47</v>
      </c>
      <c r="D9" t="s">
        <v>48</v>
      </c>
      <c r="E9" t="s">
        <v>49</v>
      </c>
      <c r="F9" t="s">
        <v>50</v>
      </c>
      <c r="G9">
        <v>2023</v>
      </c>
      <c r="H9" t="s">
        <v>304</v>
      </c>
      <c r="I9" t="s">
        <v>299</v>
      </c>
      <c r="J9" t="s">
        <v>305</v>
      </c>
      <c r="K9"/>
      <c r="L9" t="s">
        <v>232</v>
      </c>
      <c r="M9"/>
      <c r="N9" t="s">
        <v>306</v>
      </c>
      <c r="O9" t="s">
        <v>299</v>
      </c>
      <c r="P9"/>
      <c r="Q9"/>
      <c r="R9" t="s">
        <v>310</v>
      </c>
      <c r="S9" t="s">
        <v>303</v>
      </c>
      <c r="T9"/>
      <c r="U9" t="s">
        <v>60</v>
      </c>
      <c r="V9" t="s">
        <v>61</v>
      </c>
      <c r="W9" t="s">
        <v>589</v>
      </c>
      <c r="X9">
        <v>0</v>
      </c>
    </row>
    <row r="10" spans="1:24" s="8" customFormat="1" x14ac:dyDescent="0.3">
      <c r="A10" t="s">
        <v>68</v>
      </c>
      <c r="B10" t="s">
        <v>69</v>
      </c>
      <c r="C10" t="s">
        <v>47</v>
      </c>
      <c r="D10" t="s">
        <v>48</v>
      </c>
      <c r="E10" t="s">
        <v>49</v>
      </c>
      <c r="F10" t="s">
        <v>50</v>
      </c>
      <c r="G10">
        <v>2023</v>
      </c>
      <c r="H10" t="s">
        <v>304</v>
      </c>
      <c r="I10" t="s">
        <v>299</v>
      </c>
      <c r="J10" t="s">
        <v>305</v>
      </c>
      <c r="K10"/>
      <c r="L10" t="s">
        <v>232</v>
      </c>
      <c r="M10" t="s">
        <v>307</v>
      </c>
      <c r="N10" t="s">
        <v>306</v>
      </c>
      <c r="O10"/>
      <c r="P10"/>
      <c r="Q10"/>
      <c r="R10" t="s">
        <v>321</v>
      </c>
      <c r="S10" t="s">
        <v>320</v>
      </c>
      <c r="T10"/>
      <c r="U10" t="s">
        <v>71</v>
      </c>
      <c r="V10" t="s">
        <v>72</v>
      </c>
      <c r="W10" t="s">
        <v>314</v>
      </c>
      <c r="X10" t="s">
        <v>239</v>
      </c>
    </row>
    <row r="11" spans="1:24" s="8" customFormat="1" x14ac:dyDescent="0.3">
      <c r="A11" t="s">
        <v>68</v>
      </c>
      <c r="B11" t="s">
        <v>322</v>
      </c>
      <c r="C11" t="s">
        <v>47</v>
      </c>
      <c r="D11" t="s">
        <v>48</v>
      </c>
      <c r="E11"/>
      <c r="F11"/>
      <c r="G11"/>
      <c r="H11"/>
      <c r="I11"/>
      <c r="J11"/>
      <c r="K11"/>
      <c r="L11"/>
      <c r="M11"/>
      <c r="N11"/>
      <c r="O11"/>
      <c r="P11"/>
      <c r="Q11"/>
      <c r="R11" t="s">
        <v>323</v>
      </c>
      <c r="S11" t="s">
        <v>324</v>
      </c>
      <c r="T11"/>
      <c r="U11"/>
      <c r="V11"/>
      <c r="W11" t="s">
        <v>340</v>
      </c>
      <c r="X11">
        <v>8</v>
      </c>
    </row>
    <row r="12" spans="1:24" s="8" customFormat="1" x14ac:dyDescent="0.3">
      <c r="A12" t="s">
        <v>68</v>
      </c>
      <c r="B12" t="s">
        <v>322</v>
      </c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 t="s">
        <v>325</v>
      </c>
      <c r="S12"/>
      <c r="T12"/>
      <c r="U12"/>
      <c r="V12"/>
      <c r="W12" t="s">
        <v>341</v>
      </c>
      <c r="X12">
        <v>58</v>
      </c>
    </row>
    <row r="13" spans="1:24" s="8" customFormat="1" x14ac:dyDescent="0.3">
      <c r="A13" t="s">
        <v>68</v>
      </c>
      <c r="B13" t="s">
        <v>322</v>
      </c>
      <c r="C13" s="64"/>
      <c r="D13" s="64"/>
      <c r="E13" s="64"/>
      <c r="F13" s="64"/>
      <c r="G13" s="64"/>
      <c r="H13" s="64"/>
      <c r="I13" s="64"/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 t="s">
        <v>342</v>
      </c>
      <c r="X13" s="64">
        <f>X11/X12*100</f>
        <v>13.793103448275861</v>
      </c>
    </row>
    <row r="14" spans="1:24" s="8" customFormat="1" x14ac:dyDescent="0.3">
      <c r="A14" t="s">
        <v>68</v>
      </c>
      <c r="B14" t="s">
        <v>322</v>
      </c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 t="s">
        <v>343</v>
      </c>
      <c r="X14">
        <v>3</v>
      </c>
    </row>
    <row r="15" spans="1:24" s="8" customFormat="1" x14ac:dyDescent="0.3">
      <c r="A15" t="s">
        <v>68</v>
      </c>
      <c r="B15" t="s">
        <v>322</v>
      </c>
      <c r="C15" s="64"/>
      <c r="D15" s="64"/>
      <c r="E15" s="64"/>
      <c r="F15" s="64"/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 t="s">
        <v>351</v>
      </c>
      <c r="X15" s="65">
        <f>X14/X12*100</f>
        <v>5.1724137931034484</v>
      </c>
    </row>
    <row r="16" spans="1:24" s="8" customFormat="1" x14ac:dyDescent="0.3">
      <c r="A16" t="s">
        <v>68</v>
      </c>
      <c r="B16" t="s">
        <v>345</v>
      </c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 t="s">
        <v>346</v>
      </c>
      <c r="X16">
        <v>3</v>
      </c>
    </row>
    <row r="17" spans="1:25" s="8" customFormat="1" x14ac:dyDescent="0.3">
      <c r="A17" t="s">
        <v>68</v>
      </c>
      <c r="B17" t="s">
        <v>345</v>
      </c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 t="s">
        <v>347</v>
      </c>
      <c r="X17">
        <v>4</v>
      </c>
    </row>
    <row r="18" spans="1:25" s="8" customFormat="1" x14ac:dyDescent="0.3">
      <c r="A18" t="s">
        <v>68</v>
      </c>
      <c r="B18" t="s">
        <v>345</v>
      </c>
      <c r="C18" s="64"/>
      <c r="D18" s="64"/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 t="s">
        <v>348</v>
      </c>
      <c r="X18" s="64">
        <f>X16/X17*100</f>
        <v>75</v>
      </c>
    </row>
    <row r="19" spans="1:25" s="8" customFormat="1" x14ac:dyDescent="0.3">
      <c r="A19" t="s">
        <v>68</v>
      </c>
      <c r="B19" t="s">
        <v>352</v>
      </c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 t="s">
        <v>354</v>
      </c>
      <c r="X19" t="s">
        <v>353</v>
      </c>
    </row>
    <row r="20" spans="1:25" s="8" customFormat="1" x14ac:dyDescent="0.3">
      <c r="A20" t="s">
        <v>68</v>
      </c>
      <c r="B20" t="s">
        <v>352</v>
      </c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 t="s">
        <v>356</v>
      </c>
      <c r="X20">
        <v>0</v>
      </c>
    </row>
    <row r="21" spans="1:25" s="8" customFormat="1" x14ac:dyDescent="0.3">
      <c r="A21" t="s">
        <v>68</v>
      </c>
      <c r="B21" t="s">
        <v>352</v>
      </c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 t="s">
        <v>355</v>
      </c>
      <c r="X21" s="15">
        <v>2</v>
      </c>
    </row>
    <row r="22" spans="1:25" s="8" customFormat="1" x14ac:dyDescent="0.3">
      <c r="A22" t="s">
        <v>68</v>
      </c>
      <c r="B22" t="s">
        <v>352</v>
      </c>
      <c r="C22" s="64"/>
      <c r="D22" s="64"/>
      <c r="E22" s="64"/>
      <c r="F22" s="64"/>
      <c r="G22" s="64"/>
      <c r="H22" s="64"/>
      <c r="I22" s="64"/>
      <c r="J22" s="64"/>
      <c r="K22" s="64"/>
      <c r="L22" s="64"/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4" t="s">
        <v>357</v>
      </c>
      <c r="X22" s="64">
        <f>X20/X21*100</f>
        <v>0</v>
      </c>
    </row>
    <row r="23" spans="1:25" s="8" customFormat="1" x14ac:dyDescent="0.3">
      <c r="A23" t="s">
        <v>68</v>
      </c>
      <c r="B23" t="s">
        <v>359</v>
      </c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 t="s">
        <v>360</v>
      </c>
      <c r="X23">
        <v>4</v>
      </c>
    </row>
    <row r="24" spans="1:25" s="8" customFormat="1" x14ac:dyDescent="0.3">
      <c r="A24" t="s">
        <v>68</v>
      </c>
      <c r="B24" t="s">
        <v>359</v>
      </c>
      <c r="C24" s="7"/>
      <c r="D24" s="7"/>
      <c r="E24" s="7"/>
      <c r="F24" s="7"/>
      <c r="G24" s="7"/>
      <c r="I24" s="7"/>
      <c r="J24" s="7"/>
      <c r="K24" s="7"/>
      <c r="L24" s="1"/>
      <c r="M24" s="7"/>
      <c r="N24" s="7"/>
      <c r="O24"/>
      <c r="P24" s="7"/>
      <c r="Q24" s="7"/>
      <c r="R24" s="7"/>
      <c r="S24" s="7"/>
      <c r="T24" s="7"/>
      <c r="U24" s="9"/>
      <c r="V24" s="9"/>
      <c r="W24" t="s">
        <v>361</v>
      </c>
      <c r="X24" s="67">
        <v>5</v>
      </c>
    </row>
    <row r="25" spans="1:25" s="8" customFormat="1" x14ac:dyDescent="0.3">
      <c r="A25" t="s">
        <v>68</v>
      </c>
      <c r="B25" t="s">
        <v>359</v>
      </c>
      <c r="C25" s="68"/>
      <c r="D25" s="68"/>
      <c r="E25" s="68"/>
      <c r="F25" s="68"/>
      <c r="G25" s="68"/>
      <c r="H25" s="69"/>
      <c r="I25" s="68"/>
      <c r="J25" s="68"/>
      <c r="K25" s="68"/>
      <c r="L25" s="70"/>
      <c r="M25" s="68"/>
      <c r="N25" s="68"/>
      <c r="O25" s="64"/>
      <c r="P25" s="68"/>
      <c r="Q25" s="68"/>
      <c r="R25" s="68"/>
      <c r="S25" s="68"/>
      <c r="T25" s="68"/>
      <c r="U25" s="71"/>
      <c r="V25" s="71"/>
      <c r="W25" s="68" t="s">
        <v>362</v>
      </c>
      <c r="X25" s="72">
        <f>X23/X24*100</f>
        <v>80</v>
      </c>
    </row>
    <row r="26" spans="1:25" s="8" customFormat="1" x14ac:dyDescent="0.3">
      <c r="A26" s="7" t="s">
        <v>365</v>
      </c>
      <c r="B26" s="8" t="s">
        <v>366</v>
      </c>
      <c r="C26" s="7"/>
      <c r="D26" s="7"/>
      <c r="E26" s="7"/>
      <c r="F26" s="7"/>
      <c r="G26" s="7"/>
      <c r="I26" s="7"/>
      <c r="J26" s="7"/>
      <c r="K26" s="7"/>
      <c r="L26" s="1"/>
      <c r="M26" s="7"/>
      <c r="N26" s="7"/>
      <c r="O26" s="64"/>
      <c r="P26" s="7"/>
      <c r="Q26" s="7"/>
      <c r="R26" s="7"/>
      <c r="S26" s="7"/>
      <c r="T26" s="7"/>
      <c r="U26" s="9"/>
      <c r="V26" s="9"/>
      <c r="W26" s="7" t="s">
        <v>367</v>
      </c>
      <c r="X26" s="66">
        <v>82.4</v>
      </c>
      <c r="Y26" s="8">
        <v>88.6</v>
      </c>
    </row>
    <row r="27" spans="1:25" s="8" customFormat="1" x14ac:dyDescent="0.3">
      <c r="A27" s="7" t="s">
        <v>365</v>
      </c>
      <c r="B27" s="8" t="s">
        <v>366</v>
      </c>
      <c r="C27" s="7"/>
      <c r="D27" s="7"/>
      <c r="E27" s="7"/>
      <c r="F27" s="7"/>
      <c r="G27" s="7"/>
      <c r="I27" s="7"/>
      <c r="J27" s="7"/>
      <c r="K27" s="7"/>
      <c r="L27" s="1"/>
      <c r="M27" s="7"/>
      <c r="N27" s="7"/>
      <c r="O27" s="64"/>
      <c r="P27" s="7"/>
      <c r="Q27" s="7"/>
      <c r="R27" s="7"/>
      <c r="S27" s="7"/>
      <c r="T27" s="7"/>
      <c r="U27" s="9"/>
      <c r="V27" s="9"/>
      <c r="W27" s="7" t="s">
        <v>368</v>
      </c>
      <c r="X27" s="66">
        <v>21</v>
      </c>
    </row>
    <row r="28" spans="1:25" s="8" customFormat="1" x14ac:dyDescent="0.3">
      <c r="A28" s="7" t="s">
        <v>365</v>
      </c>
      <c r="B28" s="8" t="s">
        <v>366</v>
      </c>
      <c r="C28" s="7"/>
      <c r="D28" s="7"/>
      <c r="E28" s="7"/>
      <c r="F28" s="7"/>
      <c r="G28" s="7"/>
      <c r="I28" s="7"/>
      <c r="J28" s="7"/>
      <c r="K28" s="7"/>
      <c r="L28" s="1"/>
      <c r="M28" s="7"/>
      <c r="N28" s="7"/>
      <c r="O28" s="64"/>
      <c r="P28" s="7"/>
      <c r="Q28" s="7"/>
      <c r="R28" s="7"/>
      <c r="S28" s="7"/>
      <c r="T28" s="7"/>
      <c r="U28" s="9"/>
      <c r="V28" s="9"/>
      <c r="W28" s="7" t="s">
        <v>369</v>
      </c>
      <c r="X28" s="66">
        <v>100</v>
      </c>
    </row>
    <row r="29" spans="1:25" s="8" customFormat="1" x14ac:dyDescent="0.3">
      <c r="A29" s="7" t="s">
        <v>365</v>
      </c>
      <c r="B29" s="8" t="s">
        <v>366</v>
      </c>
      <c r="C29" s="68"/>
      <c r="D29" s="68"/>
      <c r="E29" s="68"/>
      <c r="F29" s="68"/>
      <c r="G29" s="68"/>
      <c r="H29" s="69"/>
      <c r="I29" s="68"/>
      <c r="J29" s="68"/>
      <c r="K29" s="68"/>
      <c r="L29" s="70"/>
      <c r="M29" s="68"/>
      <c r="N29" s="68"/>
      <c r="O29" s="64"/>
      <c r="P29" s="68"/>
      <c r="Q29" s="68"/>
      <c r="R29" s="68"/>
      <c r="S29" s="68"/>
      <c r="T29" s="68"/>
      <c r="U29" s="71"/>
      <c r="V29" s="71"/>
      <c r="W29" s="68" t="s">
        <v>370</v>
      </c>
      <c r="X29" s="72">
        <f>X26*X27/X28</f>
        <v>17.304000000000002</v>
      </c>
    </row>
    <row r="30" spans="1:25" s="8" customFormat="1" x14ac:dyDescent="0.3">
      <c r="A30" s="7" t="s">
        <v>365</v>
      </c>
      <c r="B30" s="7" t="s">
        <v>373</v>
      </c>
      <c r="C30" s="7"/>
      <c r="D30" s="7"/>
      <c r="E30" s="7"/>
      <c r="F30" s="7"/>
      <c r="G30" s="7"/>
      <c r="I30" s="7"/>
      <c r="J30" s="7"/>
      <c r="K30" s="7"/>
      <c r="L30" s="1"/>
      <c r="M30" s="7"/>
      <c r="N30" s="7"/>
      <c r="O30" s="64"/>
      <c r="P30" s="7"/>
      <c r="Q30" s="7"/>
      <c r="R30" s="7"/>
      <c r="S30" s="7"/>
      <c r="T30" s="7"/>
      <c r="U30" s="9"/>
      <c r="V30" s="9"/>
      <c r="W30" s="7" t="s">
        <v>374</v>
      </c>
      <c r="X30" s="66" t="s">
        <v>376</v>
      </c>
    </row>
    <row r="31" spans="1:25" s="8" customFormat="1" x14ac:dyDescent="0.3">
      <c r="A31" s="7" t="s">
        <v>365</v>
      </c>
      <c r="B31" s="7" t="s">
        <v>373</v>
      </c>
      <c r="C31" s="7"/>
      <c r="D31" s="7"/>
      <c r="E31" s="7"/>
      <c r="F31" s="7"/>
      <c r="G31" s="7"/>
      <c r="I31" s="7"/>
      <c r="J31" s="7"/>
      <c r="K31" s="7"/>
      <c r="L31" s="1"/>
      <c r="M31" s="7"/>
      <c r="N31" s="7"/>
      <c r="O31" s="64"/>
      <c r="P31" s="7"/>
      <c r="Q31" s="7"/>
      <c r="R31" s="7"/>
      <c r="S31" s="7"/>
      <c r="T31" s="7"/>
      <c r="U31" s="9"/>
      <c r="V31" s="9"/>
      <c r="W31" s="7" t="s">
        <v>375</v>
      </c>
      <c r="X31" s="66">
        <v>0</v>
      </c>
    </row>
    <row r="32" spans="1:25" s="8" customFormat="1" x14ac:dyDescent="0.3">
      <c r="A32" s="7" t="s">
        <v>365</v>
      </c>
      <c r="B32" s="7" t="s">
        <v>379</v>
      </c>
      <c r="C32" s="7"/>
      <c r="D32" s="7"/>
      <c r="E32" s="7"/>
      <c r="F32" s="7"/>
      <c r="G32" s="7"/>
      <c r="I32" s="7"/>
      <c r="J32" s="7"/>
      <c r="K32" s="7"/>
      <c r="L32" s="1"/>
      <c r="M32" s="7"/>
      <c r="N32" s="7"/>
      <c r="O32" s="64"/>
      <c r="P32" s="7"/>
      <c r="Q32" s="7"/>
      <c r="R32" s="7"/>
      <c r="S32" s="7"/>
      <c r="T32" s="7"/>
      <c r="U32" s="9"/>
      <c r="V32" s="9"/>
      <c r="W32" s="7" t="s">
        <v>382</v>
      </c>
      <c r="X32" s="66">
        <v>4</v>
      </c>
    </row>
    <row r="33" spans="1:24" s="8" customFormat="1" x14ac:dyDescent="0.3">
      <c r="A33" s="7" t="s">
        <v>365</v>
      </c>
      <c r="B33" s="7" t="s">
        <v>379</v>
      </c>
      <c r="C33" s="7"/>
      <c r="D33" s="7"/>
      <c r="E33" s="7"/>
      <c r="F33" s="7"/>
      <c r="G33" s="7"/>
      <c r="I33" s="7"/>
      <c r="J33" s="7"/>
      <c r="K33" s="7"/>
      <c r="L33" s="1"/>
      <c r="M33" s="7"/>
      <c r="N33" s="7"/>
      <c r="O33" s="64"/>
      <c r="P33" s="7"/>
      <c r="Q33" s="7"/>
      <c r="R33" s="7"/>
      <c r="S33" s="7"/>
      <c r="T33" s="7"/>
      <c r="U33" s="9"/>
      <c r="V33" s="9"/>
      <c r="W33" s="7" t="s">
        <v>381</v>
      </c>
      <c r="X33" s="66">
        <v>27</v>
      </c>
    </row>
    <row r="34" spans="1:24" s="8" customFormat="1" x14ac:dyDescent="0.3">
      <c r="A34" s="7" t="s">
        <v>365</v>
      </c>
      <c r="B34" s="7" t="s">
        <v>379</v>
      </c>
      <c r="C34" s="68"/>
      <c r="D34" s="68"/>
      <c r="E34" s="68"/>
      <c r="F34" s="68"/>
      <c r="G34" s="68"/>
      <c r="H34" s="69"/>
      <c r="I34" s="68"/>
      <c r="J34" s="68"/>
      <c r="K34" s="68"/>
      <c r="L34" s="70"/>
      <c r="M34" s="68"/>
      <c r="N34" s="68"/>
      <c r="O34" s="64"/>
      <c r="P34" s="68"/>
      <c r="Q34" s="68"/>
      <c r="R34" s="68"/>
      <c r="S34" s="68"/>
      <c r="T34" s="68"/>
      <c r="U34" s="71"/>
      <c r="V34" s="71"/>
      <c r="W34" s="68" t="s">
        <v>383</v>
      </c>
      <c r="X34" s="72">
        <f>X32/X33*100</f>
        <v>14.814814814814813</v>
      </c>
    </row>
    <row r="35" spans="1:24" s="7" customFormat="1" x14ac:dyDescent="0.3">
      <c r="A35" t="s">
        <v>73</v>
      </c>
      <c r="B35" t="s">
        <v>74</v>
      </c>
      <c r="C35"/>
      <c r="D35"/>
      <c r="E35"/>
      <c r="F35"/>
      <c r="G35"/>
      <c r="H35" t="s">
        <v>75</v>
      </c>
      <c r="I35"/>
      <c r="J35"/>
      <c r="K35"/>
      <c r="L35"/>
      <c r="M35"/>
      <c r="N35"/>
      <c r="O35"/>
      <c r="P35"/>
      <c r="Q35"/>
      <c r="R35"/>
      <c r="S35"/>
      <c r="T35"/>
      <c r="U35" t="s">
        <v>60</v>
      </c>
      <c r="V35" t="s">
        <v>61</v>
      </c>
      <c r="W35" t="s">
        <v>76</v>
      </c>
      <c r="X35">
        <v>17036</v>
      </c>
    </row>
    <row r="36" spans="1:24" s="7" customFormat="1" x14ac:dyDescent="0.3">
      <c r="A36" t="s">
        <v>73</v>
      </c>
      <c r="B36" t="s">
        <v>74</v>
      </c>
      <c r="C36"/>
      <c r="D36"/>
      <c r="E36"/>
      <c r="F36"/>
      <c r="G36"/>
      <c r="H36" t="s">
        <v>75</v>
      </c>
      <c r="I36"/>
      <c r="J36"/>
      <c r="K36"/>
      <c r="L36"/>
      <c r="M36"/>
      <c r="N36"/>
      <c r="O36"/>
      <c r="P36"/>
      <c r="Q36"/>
      <c r="R36"/>
      <c r="S36"/>
      <c r="T36"/>
      <c r="U36" t="s">
        <v>60</v>
      </c>
      <c r="V36" t="s">
        <v>61</v>
      </c>
      <c r="W36" t="s">
        <v>77</v>
      </c>
      <c r="X36">
        <v>7683</v>
      </c>
    </row>
    <row r="37" spans="1:24" s="7" customFormat="1" x14ac:dyDescent="0.3">
      <c r="A37" t="s">
        <v>73</v>
      </c>
      <c r="B37" t="s">
        <v>74</v>
      </c>
      <c r="C37"/>
      <c r="D37"/>
      <c r="E37"/>
      <c r="F37"/>
      <c r="G37"/>
      <c r="H37" t="s">
        <v>75</v>
      </c>
      <c r="I37"/>
      <c r="J37"/>
      <c r="K37"/>
      <c r="L37"/>
      <c r="M37"/>
      <c r="N37"/>
      <c r="O37"/>
      <c r="P37"/>
      <c r="Q37"/>
      <c r="R37"/>
      <c r="S37"/>
      <c r="T37"/>
      <c r="U37" t="s">
        <v>60</v>
      </c>
      <c r="V37" t="s">
        <v>61</v>
      </c>
      <c r="W37" t="s">
        <v>78</v>
      </c>
      <c r="X37">
        <v>9657</v>
      </c>
    </row>
    <row r="38" spans="1:24" s="7" customFormat="1" x14ac:dyDescent="0.3">
      <c r="A38" t="s">
        <v>73</v>
      </c>
      <c r="B38" t="s">
        <v>74</v>
      </c>
      <c r="C38"/>
      <c r="D38"/>
      <c r="E38"/>
      <c r="F38"/>
      <c r="G38"/>
      <c r="H38" t="s">
        <v>75</v>
      </c>
      <c r="I38"/>
      <c r="J38"/>
      <c r="K38"/>
      <c r="L38"/>
      <c r="M38"/>
      <c r="N38"/>
      <c r="O38"/>
      <c r="P38"/>
      <c r="Q38"/>
      <c r="R38"/>
      <c r="S38"/>
      <c r="T38"/>
      <c r="U38" t="s">
        <v>60</v>
      </c>
      <c r="V38" t="s">
        <v>61</v>
      </c>
      <c r="W38" t="s">
        <v>79</v>
      </c>
      <c r="X38">
        <v>12447</v>
      </c>
    </row>
    <row r="39" spans="1:24" s="7" customFormat="1" ht="24.6" customHeight="1" x14ac:dyDescent="0.3">
      <c r="A39" t="s">
        <v>73</v>
      </c>
      <c r="B39" t="s">
        <v>74</v>
      </c>
      <c r="C39"/>
      <c r="D39"/>
      <c r="E39"/>
      <c r="F39"/>
      <c r="G39"/>
      <c r="H39" t="s">
        <v>75</v>
      </c>
      <c r="I39"/>
      <c r="J39"/>
      <c r="K39"/>
      <c r="L39"/>
      <c r="M39"/>
      <c r="N39"/>
      <c r="O39"/>
      <c r="P39"/>
      <c r="Q39"/>
      <c r="R39"/>
      <c r="S39"/>
      <c r="T39"/>
      <c r="U39" t="s">
        <v>60</v>
      </c>
      <c r="V39" t="s">
        <v>61</v>
      </c>
      <c r="W39" t="s">
        <v>80</v>
      </c>
      <c r="X39">
        <v>579</v>
      </c>
    </row>
    <row r="40" spans="1:24" s="7" customFormat="1" ht="24.6" customHeight="1" x14ac:dyDescent="0.3">
      <c r="A40" t="s">
        <v>73</v>
      </c>
      <c r="B40" t="s">
        <v>74</v>
      </c>
      <c r="C40" s="64"/>
      <c r="D40" s="64"/>
      <c r="E40" s="64"/>
      <c r="F40" s="64"/>
      <c r="G40" s="64"/>
      <c r="H40" s="64" t="s">
        <v>75</v>
      </c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4" t="s">
        <v>60</v>
      </c>
      <c r="V40" s="64" t="s">
        <v>61</v>
      </c>
      <c r="W40" s="64" t="s">
        <v>81</v>
      </c>
      <c r="X40" s="64">
        <f>SUM(X35:X39)</f>
        <v>47402</v>
      </c>
    </row>
    <row r="41" spans="1:24" s="7" customFormat="1" x14ac:dyDescent="0.3">
      <c r="A41" t="s">
        <v>73</v>
      </c>
      <c r="B41" t="s">
        <v>74</v>
      </c>
      <c r="C41"/>
      <c r="D41"/>
      <c r="E41"/>
      <c r="F41"/>
      <c r="G41"/>
      <c r="H41" t="s">
        <v>75</v>
      </c>
      <c r="I41"/>
      <c r="J41"/>
      <c r="K41"/>
      <c r="L41"/>
      <c r="M41"/>
      <c r="N41"/>
      <c r="O41"/>
      <c r="P41"/>
      <c r="Q41"/>
      <c r="R41"/>
      <c r="S41"/>
      <c r="T41"/>
      <c r="U41" t="s">
        <v>60</v>
      </c>
      <c r="V41" t="s">
        <v>62</v>
      </c>
      <c r="W41" t="s">
        <v>82</v>
      </c>
      <c r="X41">
        <v>0.7</v>
      </c>
    </row>
    <row r="42" spans="1:24" s="7" customFormat="1" x14ac:dyDescent="0.3">
      <c r="A42" t="s">
        <v>73</v>
      </c>
      <c r="B42" t="s">
        <v>74</v>
      </c>
      <c r="C42"/>
      <c r="D42"/>
      <c r="E42"/>
      <c r="F42"/>
      <c r="G42"/>
      <c r="H42" t="s">
        <v>75</v>
      </c>
      <c r="I42"/>
      <c r="J42"/>
      <c r="K42"/>
      <c r="L42"/>
      <c r="M42"/>
      <c r="N42"/>
      <c r="O42"/>
      <c r="P42"/>
      <c r="Q42"/>
      <c r="R42"/>
      <c r="S42"/>
      <c r="T42"/>
      <c r="U42" t="s">
        <v>60</v>
      </c>
      <c r="V42" t="s">
        <v>62</v>
      </c>
      <c r="W42" t="s">
        <v>83</v>
      </c>
      <c r="X42">
        <v>1</v>
      </c>
    </row>
    <row r="43" spans="1:24" s="7" customFormat="1" x14ac:dyDescent="0.3">
      <c r="A43" t="s">
        <v>73</v>
      </c>
      <c r="B43" t="s">
        <v>74</v>
      </c>
      <c r="C43"/>
      <c r="D43"/>
      <c r="E43"/>
      <c r="F43"/>
      <c r="G43"/>
      <c r="H43" t="s">
        <v>75</v>
      </c>
      <c r="I43"/>
      <c r="J43"/>
      <c r="K43"/>
      <c r="L43"/>
      <c r="M43"/>
      <c r="N43"/>
      <c r="O43"/>
      <c r="P43"/>
      <c r="Q43"/>
      <c r="R43"/>
      <c r="S43"/>
      <c r="T43"/>
      <c r="U43" t="s">
        <v>60</v>
      </c>
      <c r="V43" t="s">
        <v>62</v>
      </c>
      <c r="W43" t="s">
        <v>84</v>
      </c>
      <c r="X43">
        <v>0.8</v>
      </c>
    </row>
    <row r="44" spans="1:24" s="7" customFormat="1" x14ac:dyDescent="0.3">
      <c r="A44" t="s">
        <v>73</v>
      </c>
      <c r="B44" t="s">
        <v>74</v>
      </c>
      <c r="C44"/>
      <c r="D44"/>
      <c r="E44"/>
      <c r="F44"/>
      <c r="G44"/>
      <c r="H44" t="s">
        <v>75</v>
      </c>
      <c r="I44"/>
      <c r="J44"/>
      <c r="K44"/>
      <c r="L44"/>
      <c r="M44"/>
      <c r="N44"/>
      <c r="O44"/>
      <c r="P44"/>
      <c r="Q44"/>
      <c r="R44"/>
      <c r="S44"/>
      <c r="T44"/>
      <c r="U44" t="s">
        <v>60</v>
      </c>
      <c r="V44" t="s">
        <v>62</v>
      </c>
      <c r="W44" t="s">
        <v>85</v>
      </c>
      <c r="X44">
        <v>1</v>
      </c>
    </row>
    <row r="45" spans="1:24" s="7" customFormat="1" ht="26.4" customHeight="1" x14ac:dyDescent="0.3">
      <c r="A45" t="s">
        <v>73</v>
      </c>
      <c r="B45" t="s">
        <v>74</v>
      </c>
      <c r="C45"/>
      <c r="D45"/>
      <c r="E45"/>
      <c r="F45"/>
      <c r="G45"/>
      <c r="H45" t="s">
        <v>75</v>
      </c>
      <c r="I45"/>
      <c r="J45"/>
      <c r="K45"/>
      <c r="L45"/>
      <c r="M45"/>
      <c r="N45"/>
      <c r="O45"/>
      <c r="P45"/>
      <c r="Q45"/>
      <c r="R45"/>
      <c r="S45"/>
      <c r="T45"/>
      <c r="U45" t="s">
        <v>60</v>
      </c>
      <c r="V45" t="s">
        <v>62</v>
      </c>
      <c r="W45" t="s">
        <v>86</v>
      </c>
      <c r="X45">
        <v>0.8</v>
      </c>
    </row>
    <row r="46" spans="1:24" s="7" customFormat="1" x14ac:dyDescent="0.3">
      <c r="A46" t="s">
        <v>73</v>
      </c>
      <c r="B46" t="s">
        <v>87</v>
      </c>
      <c r="C46"/>
      <c r="D46"/>
      <c r="E46"/>
      <c r="F46"/>
      <c r="G46"/>
      <c r="H46" t="s">
        <v>88</v>
      </c>
      <c r="I46"/>
      <c r="J46"/>
      <c r="K46"/>
      <c r="L46"/>
      <c r="M46"/>
      <c r="N46"/>
      <c r="O46"/>
      <c r="P46"/>
      <c r="Q46"/>
      <c r="R46"/>
      <c r="S46"/>
      <c r="T46"/>
      <c r="U46" t="s">
        <v>60</v>
      </c>
      <c r="V46" t="s">
        <v>61</v>
      </c>
      <c r="W46" t="s">
        <v>89</v>
      </c>
      <c r="X46">
        <v>45</v>
      </c>
    </row>
    <row r="47" spans="1:24" s="7" customFormat="1" x14ac:dyDescent="0.3">
      <c r="A47" t="s">
        <v>73</v>
      </c>
      <c r="B47" t="s">
        <v>87</v>
      </c>
      <c r="C47"/>
      <c r="D47"/>
      <c r="E47"/>
      <c r="F47"/>
      <c r="G47"/>
      <c r="H47" t="s">
        <v>88</v>
      </c>
      <c r="I47"/>
      <c r="J47"/>
      <c r="K47"/>
      <c r="L47"/>
      <c r="M47"/>
      <c r="N47"/>
      <c r="O47"/>
      <c r="P47"/>
      <c r="Q47"/>
      <c r="R47"/>
      <c r="S47"/>
      <c r="T47"/>
      <c r="U47" t="s">
        <v>60</v>
      </c>
      <c r="V47" t="s">
        <v>61</v>
      </c>
      <c r="W47" t="s">
        <v>90</v>
      </c>
      <c r="X47">
        <v>28</v>
      </c>
    </row>
    <row r="48" spans="1:24" s="7" customFormat="1" x14ac:dyDescent="0.3">
      <c r="A48" t="s">
        <v>73</v>
      </c>
      <c r="B48" t="s">
        <v>87</v>
      </c>
      <c r="C48"/>
      <c r="D48"/>
      <c r="E48"/>
      <c r="F48"/>
      <c r="G48"/>
      <c r="H48" t="s">
        <v>88</v>
      </c>
      <c r="I48"/>
      <c r="J48"/>
      <c r="K48"/>
      <c r="L48"/>
      <c r="M48"/>
      <c r="N48"/>
      <c r="O48"/>
      <c r="P48"/>
      <c r="Q48"/>
      <c r="R48"/>
      <c r="S48"/>
      <c r="T48"/>
      <c r="U48" t="s">
        <v>60</v>
      </c>
      <c r="V48" t="s">
        <v>61</v>
      </c>
      <c r="W48" t="s">
        <v>91</v>
      </c>
      <c r="X48">
        <v>8</v>
      </c>
    </row>
    <row r="49" spans="1:24" s="7" customFormat="1" x14ac:dyDescent="0.3">
      <c r="A49" t="s">
        <v>73</v>
      </c>
      <c r="B49" t="s">
        <v>87</v>
      </c>
      <c r="C49"/>
      <c r="D49"/>
      <c r="E49"/>
      <c r="F49"/>
      <c r="G49"/>
      <c r="H49" t="s">
        <v>88</v>
      </c>
      <c r="I49"/>
      <c r="J49"/>
      <c r="K49"/>
      <c r="L49"/>
      <c r="M49"/>
      <c r="N49"/>
      <c r="O49"/>
      <c r="P49"/>
      <c r="Q49"/>
      <c r="R49"/>
      <c r="S49"/>
      <c r="T49"/>
      <c r="U49" t="s">
        <v>60</v>
      </c>
      <c r="V49" t="s">
        <v>61</v>
      </c>
      <c r="W49" t="s">
        <v>92</v>
      </c>
      <c r="X49">
        <v>5.95</v>
      </c>
    </row>
    <row r="50" spans="1:24" s="7" customFormat="1" x14ac:dyDescent="0.3">
      <c r="A50" t="s">
        <v>73</v>
      </c>
      <c r="B50" t="s">
        <v>87</v>
      </c>
      <c r="C50"/>
      <c r="D50"/>
      <c r="E50"/>
      <c r="F50"/>
      <c r="G50"/>
      <c r="H50" t="s">
        <v>88</v>
      </c>
      <c r="I50"/>
      <c r="J50"/>
      <c r="K50"/>
      <c r="L50"/>
      <c r="M50"/>
      <c r="N50"/>
      <c r="O50"/>
      <c r="P50"/>
      <c r="Q50"/>
      <c r="R50"/>
      <c r="S50"/>
      <c r="T50"/>
      <c r="U50" t="s">
        <v>60</v>
      </c>
      <c r="V50" t="s">
        <v>61</v>
      </c>
      <c r="W50" t="s">
        <v>93</v>
      </c>
      <c r="X50">
        <v>10</v>
      </c>
    </row>
    <row r="51" spans="1:24" s="7" customFormat="1" x14ac:dyDescent="0.3">
      <c r="A51" t="s">
        <v>73</v>
      </c>
      <c r="B51" t="s">
        <v>87</v>
      </c>
      <c r="C51"/>
      <c r="D51"/>
      <c r="E51"/>
      <c r="F51"/>
      <c r="G51"/>
      <c r="H51" t="s">
        <v>88</v>
      </c>
      <c r="I51"/>
      <c r="J51"/>
      <c r="K51"/>
      <c r="L51"/>
      <c r="M51"/>
      <c r="N51"/>
      <c r="O51"/>
      <c r="P51"/>
      <c r="Q51"/>
      <c r="R51"/>
      <c r="S51"/>
      <c r="T51"/>
      <c r="U51" t="s">
        <v>60</v>
      </c>
      <c r="V51" t="s">
        <v>61</v>
      </c>
      <c r="W51" t="s">
        <v>94</v>
      </c>
      <c r="X51">
        <v>13</v>
      </c>
    </row>
    <row r="52" spans="1:24" s="7" customFormat="1" x14ac:dyDescent="0.3">
      <c r="A52" t="s">
        <v>73</v>
      </c>
      <c r="B52" t="s">
        <v>87</v>
      </c>
      <c r="C52" s="64"/>
      <c r="D52" s="64"/>
      <c r="E52" s="64"/>
      <c r="F52" s="64"/>
      <c r="G52" s="64"/>
      <c r="H52" s="64" t="s">
        <v>88</v>
      </c>
      <c r="I52" s="64"/>
      <c r="J52" s="64"/>
      <c r="K52" s="64"/>
      <c r="L52" s="64"/>
      <c r="M52" s="64"/>
      <c r="N52" s="64"/>
      <c r="O52" s="64"/>
      <c r="P52" s="64"/>
      <c r="Q52" s="64"/>
      <c r="R52" s="64"/>
      <c r="S52" s="64"/>
      <c r="T52" s="64"/>
      <c r="U52" s="64" t="s">
        <v>60</v>
      </c>
      <c r="V52" s="64" t="s">
        <v>61</v>
      </c>
      <c r="W52" s="64" t="s">
        <v>95</v>
      </c>
      <c r="X52" s="64">
        <f>X46+X47+X48+X50+X51</f>
        <v>104</v>
      </c>
    </row>
    <row r="53" spans="1:24" s="7" customFormat="1" x14ac:dyDescent="0.3">
      <c r="A53" t="s">
        <v>73</v>
      </c>
      <c r="B53" t="s">
        <v>87</v>
      </c>
      <c r="C53"/>
      <c r="D53"/>
      <c r="E53"/>
      <c r="F53"/>
      <c r="G53"/>
      <c r="H53" t="s">
        <v>88</v>
      </c>
      <c r="I53"/>
      <c r="J53"/>
      <c r="K53"/>
      <c r="L53"/>
      <c r="M53"/>
      <c r="N53"/>
      <c r="O53"/>
      <c r="P53"/>
      <c r="Q53"/>
      <c r="R53"/>
      <c r="S53"/>
      <c r="T53"/>
      <c r="U53" t="s">
        <v>60</v>
      </c>
      <c r="V53" t="s">
        <v>61</v>
      </c>
      <c r="W53" t="s">
        <v>96</v>
      </c>
      <c r="X53">
        <v>50</v>
      </c>
    </row>
    <row r="54" spans="1:24" s="7" customFormat="1" x14ac:dyDescent="0.3">
      <c r="A54" t="s">
        <v>73</v>
      </c>
      <c r="B54" t="s">
        <v>87</v>
      </c>
      <c r="C54"/>
      <c r="D54"/>
      <c r="E54"/>
      <c r="F54"/>
      <c r="G54"/>
      <c r="H54" t="s">
        <v>88</v>
      </c>
      <c r="I54"/>
      <c r="J54"/>
      <c r="K54"/>
      <c r="L54"/>
      <c r="M54"/>
      <c r="N54"/>
      <c r="O54"/>
      <c r="P54"/>
      <c r="Q54"/>
      <c r="R54"/>
      <c r="S54"/>
      <c r="T54"/>
      <c r="U54" t="s">
        <v>60</v>
      </c>
      <c r="V54" t="s">
        <v>61</v>
      </c>
      <c r="W54" t="s">
        <v>97</v>
      </c>
      <c r="X54">
        <v>21</v>
      </c>
    </row>
    <row r="55" spans="1:24" s="7" customFormat="1" x14ac:dyDescent="0.3">
      <c r="A55" t="s">
        <v>73</v>
      </c>
      <c r="B55" t="s">
        <v>87</v>
      </c>
      <c r="C55"/>
      <c r="D55"/>
      <c r="E55"/>
      <c r="F55"/>
      <c r="G55"/>
      <c r="H55" t="s">
        <v>88</v>
      </c>
      <c r="I55"/>
      <c r="J55"/>
      <c r="K55"/>
      <c r="L55"/>
      <c r="M55"/>
      <c r="N55"/>
      <c r="O55"/>
      <c r="P55"/>
      <c r="Q55"/>
      <c r="R55"/>
      <c r="S55"/>
      <c r="T55"/>
      <c r="U55" t="s">
        <v>60</v>
      </c>
      <c r="V55" t="s">
        <v>61</v>
      </c>
      <c r="W55" t="s">
        <v>98</v>
      </c>
      <c r="X55">
        <v>6</v>
      </c>
    </row>
    <row r="56" spans="1:24" s="7" customFormat="1" x14ac:dyDescent="0.3">
      <c r="A56" t="s">
        <v>73</v>
      </c>
      <c r="B56" t="s">
        <v>87</v>
      </c>
      <c r="C56"/>
      <c r="D56"/>
      <c r="E56"/>
      <c r="F56"/>
      <c r="G56"/>
      <c r="H56" t="s">
        <v>88</v>
      </c>
      <c r="I56"/>
      <c r="J56"/>
      <c r="K56"/>
      <c r="L56"/>
      <c r="M56"/>
      <c r="N56"/>
      <c r="O56"/>
      <c r="P56"/>
      <c r="Q56"/>
      <c r="R56"/>
      <c r="S56"/>
      <c r="T56"/>
      <c r="U56" t="s">
        <v>60</v>
      </c>
      <c r="V56" t="s">
        <v>61</v>
      </c>
      <c r="W56" t="s">
        <v>99</v>
      </c>
      <c r="X56">
        <v>14.79</v>
      </c>
    </row>
    <row r="57" spans="1:24" s="7" customFormat="1" x14ac:dyDescent="0.3">
      <c r="A57" t="s">
        <v>73</v>
      </c>
      <c r="B57" t="s">
        <v>87</v>
      </c>
      <c r="C57"/>
      <c r="D57"/>
      <c r="E57"/>
      <c r="F57"/>
      <c r="G57"/>
      <c r="H57" t="s">
        <v>88</v>
      </c>
      <c r="I57"/>
      <c r="J57"/>
      <c r="K57"/>
      <c r="L57"/>
      <c r="M57"/>
      <c r="N57"/>
      <c r="O57"/>
      <c r="P57"/>
      <c r="Q57"/>
      <c r="R57"/>
      <c r="S57"/>
      <c r="T57"/>
      <c r="U57" t="s">
        <v>60</v>
      </c>
      <c r="V57" t="s">
        <v>61</v>
      </c>
      <c r="W57" t="s">
        <v>100</v>
      </c>
      <c r="X57">
        <v>8</v>
      </c>
    </row>
    <row r="58" spans="1:24" s="7" customFormat="1" x14ac:dyDescent="0.3">
      <c r="A58" t="s">
        <v>73</v>
      </c>
      <c r="B58" t="s">
        <v>87</v>
      </c>
      <c r="C58"/>
      <c r="D58"/>
      <c r="E58"/>
      <c r="F58"/>
      <c r="G58"/>
      <c r="H58" t="s">
        <v>88</v>
      </c>
      <c r="I58"/>
      <c r="J58"/>
      <c r="K58"/>
      <c r="L58"/>
      <c r="M58"/>
      <c r="N58"/>
      <c r="O58"/>
      <c r="P58"/>
      <c r="Q58"/>
      <c r="R58"/>
      <c r="S58"/>
      <c r="T58"/>
      <c r="U58" t="s">
        <v>60</v>
      </c>
      <c r="V58" t="s">
        <v>61</v>
      </c>
      <c r="W58" t="s">
        <v>101</v>
      </c>
      <c r="X58">
        <v>30</v>
      </c>
    </row>
    <row r="59" spans="1:24" s="7" customFormat="1" x14ac:dyDescent="0.3">
      <c r="A59" t="s">
        <v>73</v>
      </c>
      <c r="B59" t="s">
        <v>87</v>
      </c>
      <c r="C59" s="64"/>
      <c r="D59" s="64"/>
      <c r="E59" s="64"/>
      <c r="F59" s="64"/>
      <c r="G59" s="64"/>
      <c r="H59" s="64" t="s">
        <v>88</v>
      </c>
      <c r="I59" s="64"/>
      <c r="J59" s="64"/>
      <c r="K59" s="64"/>
      <c r="L59" s="64"/>
      <c r="M59" s="64"/>
      <c r="N59" s="64"/>
      <c r="O59" s="64"/>
      <c r="P59" s="64"/>
      <c r="Q59" s="64"/>
      <c r="R59" s="64"/>
      <c r="S59" s="64"/>
      <c r="T59" s="64"/>
      <c r="U59" s="64" t="s">
        <v>60</v>
      </c>
      <c r="V59" s="64" t="s">
        <v>61</v>
      </c>
      <c r="W59" s="64" t="s">
        <v>102</v>
      </c>
      <c r="X59" s="64">
        <f>X53+X54+X55+X57+X58</f>
        <v>115</v>
      </c>
    </row>
    <row r="60" spans="1:24" s="7" customFormat="1" x14ac:dyDescent="0.3">
      <c r="A60" t="s">
        <v>73</v>
      </c>
      <c r="B60" t="s">
        <v>87</v>
      </c>
      <c r="C60" s="68"/>
      <c r="D60" s="68"/>
      <c r="E60" s="68"/>
      <c r="F60" s="68"/>
      <c r="G60" s="68"/>
      <c r="H60" s="69"/>
      <c r="I60" s="68"/>
      <c r="J60" s="68"/>
      <c r="K60" s="68"/>
      <c r="L60" s="70"/>
      <c r="M60" s="68"/>
      <c r="N60" s="68"/>
      <c r="O60" s="64"/>
      <c r="P60" s="68"/>
      <c r="Q60" s="68"/>
      <c r="R60" s="68"/>
      <c r="S60" s="68"/>
      <c r="T60" s="68"/>
      <c r="U60" s="71"/>
      <c r="V60" s="71"/>
      <c r="W60" s="64" t="s">
        <v>387</v>
      </c>
      <c r="X60" s="72">
        <f>X46*100/$X$52</f>
        <v>43.269230769230766</v>
      </c>
    </row>
    <row r="61" spans="1:24" s="7" customFormat="1" x14ac:dyDescent="0.3">
      <c r="A61" t="s">
        <v>73</v>
      </c>
      <c r="B61" t="s">
        <v>87</v>
      </c>
      <c r="C61" s="68"/>
      <c r="D61" s="68"/>
      <c r="E61" s="68"/>
      <c r="F61" s="68"/>
      <c r="G61" s="68"/>
      <c r="H61" s="69"/>
      <c r="I61" s="68"/>
      <c r="J61" s="68"/>
      <c r="K61" s="68"/>
      <c r="L61" s="70"/>
      <c r="M61" s="68"/>
      <c r="N61" s="68"/>
      <c r="O61" s="64"/>
      <c r="P61" s="68"/>
      <c r="Q61" s="68"/>
      <c r="R61" s="68"/>
      <c r="S61" s="68"/>
      <c r="T61" s="68"/>
      <c r="U61" s="71"/>
      <c r="V61" s="71"/>
      <c r="W61" s="64" t="s">
        <v>388</v>
      </c>
      <c r="X61" s="72">
        <f t="shared" ref="X61:X64" si="0">X47*100/$X$52</f>
        <v>26.923076923076923</v>
      </c>
    </row>
    <row r="62" spans="1:24" s="7" customFormat="1" x14ac:dyDescent="0.3">
      <c r="A62" t="s">
        <v>73</v>
      </c>
      <c r="B62" t="s">
        <v>87</v>
      </c>
      <c r="C62" s="68"/>
      <c r="D62" s="68"/>
      <c r="E62" s="68"/>
      <c r="F62" s="68"/>
      <c r="G62" s="68"/>
      <c r="H62" s="69"/>
      <c r="I62" s="68"/>
      <c r="J62" s="68"/>
      <c r="K62" s="68"/>
      <c r="L62" s="70"/>
      <c r="M62" s="68"/>
      <c r="N62" s="68"/>
      <c r="O62" s="64"/>
      <c r="P62" s="68"/>
      <c r="Q62" s="68"/>
      <c r="R62" s="68"/>
      <c r="S62" s="68"/>
      <c r="T62" s="68"/>
      <c r="U62" s="71"/>
      <c r="V62" s="71"/>
      <c r="W62" s="64" t="s">
        <v>389</v>
      </c>
      <c r="X62" s="72">
        <f t="shared" si="0"/>
        <v>7.6923076923076925</v>
      </c>
    </row>
    <row r="63" spans="1:24" s="7" customFormat="1" x14ac:dyDescent="0.3">
      <c r="A63" t="s">
        <v>73</v>
      </c>
      <c r="B63" t="s">
        <v>87</v>
      </c>
      <c r="C63" s="68"/>
      <c r="D63" s="68"/>
      <c r="E63" s="68"/>
      <c r="F63" s="68"/>
      <c r="G63" s="68"/>
      <c r="H63" s="69"/>
      <c r="I63" s="68"/>
      <c r="J63" s="68"/>
      <c r="K63" s="68"/>
      <c r="L63" s="70"/>
      <c r="M63" s="68"/>
      <c r="N63" s="68"/>
      <c r="O63" s="64"/>
      <c r="P63" s="68"/>
      <c r="Q63" s="68"/>
      <c r="R63" s="68"/>
      <c r="S63" s="68"/>
      <c r="T63" s="68"/>
      <c r="U63" s="71"/>
      <c r="V63" s="71"/>
      <c r="W63" s="64" t="s">
        <v>390</v>
      </c>
      <c r="X63" s="72">
        <f>X49</f>
        <v>5.95</v>
      </c>
    </row>
    <row r="64" spans="1:24" s="7" customFormat="1" x14ac:dyDescent="0.3">
      <c r="A64" t="s">
        <v>73</v>
      </c>
      <c r="B64" t="s">
        <v>87</v>
      </c>
      <c r="C64" s="68"/>
      <c r="D64" s="68"/>
      <c r="E64" s="68"/>
      <c r="F64" s="68"/>
      <c r="G64" s="68"/>
      <c r="H64" s="69"/>
      <c r="I64" s="68"/>
      <c r="J64" s="68"/>
      <c r="K64" s="68"/>
      <c r="L64" s="70"/>
      <c r="M64" s="68"/>
      <c r="N64" s="68"/>
      <c r="O64" s="64"/>
      <c r="P64" s="68"/>
      <c r="Q64" s="68"/>
      <c r="R64" s="68"/>
      <c r="S64" s="68"/>
      <c r="T64" s="68"/>
      <c r="U64" s="71"/>
      <c r="V64" s="71"/>
      <c r="W64" s="64" t="s">
        <v>391</v>
      </c>
      <c r="X64" s="72">
        <f t="shared" si="0"/>
        <v>9.615384615384615</v>
      </c>
    </row>
    <row r="65" spans="1:24" s="7" customFormat="1" x14ac:dyDescent="0.3">
      <c r="A65" t="s">
        <v>73</v>
      </c>
      <c r="B65" t="s">
        <v>87</v>
      </c>
      <c r="C65" s="68"/>
      <c r="D65" s="68"/>
      <c r="E65" s="68"/>
      <c r="F65" s="68"/>
      <c r="G65" s="68"/>
      <c r="H65" s="69"/>
      <c r="I65" s="68"/>
      <c r="J65" s="68"/>
      <c r="K65" s="68"/>
      <c r="L65" s="70"/>
      <c r="M65" s="68"/>
      <c r="N65" s="68"/>
      <c r="O65" s="64"/>
      <c r="P65" s="68"/>
      <c r="Q65" s="68"/>
      <c r="R65" s="68"/>
      <c r="S65" s="68"/>
      <c r="T65" s="68"/>
      <c r="U65" s="71"/>
      <c r="V65" s="71"/>
      <c r="W65" s="64" t="s">
        <v>392</v>
      </c>
      <c r="X65" s="72">
        <f>X51*100/$X$52</f>
        <v>12.5</v>
      </c>
    </row>
    <row r="66" spans="1:24" s="7" customFormat="1" x14ac:dyDescent="0.3">
      <c r="A66" t="s">
        <v>73</v>
      </c>
      <c r="B66" t="s">
        <v>87</v>
      </c>
      <c r="C66" s="68"/>
      <c r="D66" s="68"/>
      <c r="E66" s="68"/>
      <c r="F66" s="68"/>
      <c r="G66" s="68"/>
      <c r="H66" s="69"/>
      <c r="I66" s="68"/>
      <c r="J66" s="68"/>
      <c r="K66" s="68"/>
      <c r="L66" s="70"/>
      <c r="M66" s="68"/>
      <c r="N66" s="68"/>
      <c r="O66" s="64"/>
      <c r="P66" s="68"/>
      <c r="Q66" s="68"/>
      <c r="R66" s="68"/>
      <c r="S66" s="68"/>
      <c r="T66" s="68"/>
      <c r="U66" s="71"/>
      <c r="V66" s="71"/>
      <c r="W66" s="64" t="s">
        <v>393</v>
      </c>
      <c r="X66" s="72">
        <f>X53*100/$X$59</f>
        <v>43.478260869565219</v>
      </c>
    </row>
    <row r="67" spans="1:24" s="7" customFormat="1" x14ac:dyDescent="0.3">
      <c r="A67" t="s">
        <v>73</v>
      </c>
      <c r="B67" t="s">
        <v>87</v>
      </c>
      <c r="C67" s="68"/>
      <c r="D67" s="68"/>
      <c r="E67" s="68"/>
      <c r="F67" s="68"/>
      <c r="G67" s="68"/>
      <c r="H67" s="69"/>
      <c r="I67" s="68"/>
      <c r="J67" s="68"/>
      <c r="K67" s="68"/>
      <c r="L67" s="70"/>
      <c r="M67" s="68"/>
      <c r="N67" s="68"/>
      <c r="O67" s="64"/>
      <c r="P67" s="68"/>
      <c r="Q67" s="68"/>
      <c r="R67" s="68"/>
      <c r="S67" s="68"/>
      <c r="T67" s="68"/>
      <c r="U67" s="71"/>
      <c r="V67" s="71"/>
      <c r="W67" s="68" t="s">
        <v>394</v>
      </c>
      <c r="X67" s="72">
        <f t="shared" ref="X67:X71" si="1">X54*100/$X$59</f>
        <v>18.260869565217391</v>
      </c>
    </row>
    <row r="68" spans="1:24" s="7" customFormat="1" x14ac:dyDescent="0.3">
      <c r="A68" t="s">
        <v>73</v>
      </c>
      <c r="B68" t="s">
        <v>87</v>
      </c>
      <c r="C68" s="68"/>
      <c r="D68" s="68"/>
      <c r="E68" s="68"/>
      <c r="F68" s="68"/>
      <c r="G68" s="68"/>
      <c r="H68" s="69"/>
      <c r="I68" s="68"/>
      <c r="J68" s="68"/>
      <c r="K68" s="68"/>
      <c r="L68" s="70"/>
      <c r="M68" s="68"/>
      <c r="N68" s="68"/>
      <c r="O68" s="64"/>
      <c r="P68" s="68"/>
      <c r="Q68" s="68"/>
      <c r="R68" s="68"/>
      <c r="S68" s="68"/>
      <c r="T68" s="68"/>
      <c r="U68" s="71"/>
      <c r="V68" s="71"/>
      <c r="W68" s="68" t="s">
        <v>395</v>
      </c>
      <c r="X68" s="72">
        <f t="shared" si="1"/>
        <v>5.2173913043478262</v>
      </c>
    </row>
    <row r="69" spans="1:24" s="7" customFormat="1" x14ac:dyDescent="0.3">
      <c r="A69" t="s">
        <v>73</v>
      </c>
      <c r="B69" t="s">
        <v>87</v>
      </c>
      <c r="C69" s="68"/>
      <c r="D69" s="68"/>
      <c r="E69" s="68"/>
      <c r="F69" s="68"/>
      <c r="G69" s="68"/>
      <c r="H69" s="69"/>
      <c r="I69" s="68"/>
      <c r="J69" s="68"/>
      <c r="K69" s="68"/>
      <c r="L69" s="70"/>
      <c r="M69" s="68"/>
      <c r="N69" s="68"/>
      <c r="O69" s="64"/>
      <c r="P69" s="68"/>
      <c r="Q69" s="68"/>
      <c r="R69" s="68"/>
      <c r="S69" s="68"/>
      <c r="T69" s="68"/>
      <c r="U69" s="71"/>
      <c r="V69" s="71"/>
      <c r="W69" s="68" t="s">
        <v>396</v>
      </c>
      <c r="X69" s="72">
        <f>X56</f>
        <v>14.79</v>
      </c>
    </row>
    <row r="70" spans="1:24" s="7" customFormat="1" x14ac:dyDescent="0.3">
      <c r="A70" t="s">
        <v>73</v>
      </c>
      <c r="B70" t="s">
        <v>87</v>
      </c>
      <c r="C70" s="68"/>
      <c r="D70" s="68"/>
      <c r="E70" s="68"/>
      <c r="F70" s="68"/>
      <c r="G70" s="68"/>
      <c r="H70" s="69"/>
      <c r="I70" s="68"/>
      <c r="J70" s="68"/>
      <c r="K70" s="68"/>
      <c r="L70" s="70"/>
      <c r="M70" s="68"/>
      <c r="N70" s="68"/>
      <c r="O70" s="64"/>
      <c r="P70" s="68"/>
      <c r="Q70" s="68"/>
      <c r="R70" s="68"/>
      <c r="S70" s="68"/>
      <c r="T70" s="68"/>
      <c r="U70" s="71"/>
      <c r="V70" s="71"/>
      <c r="W70" s="68" t="s">
        <v>397</v>
      </c>
      <c r="X70" s="72">
        <f t="shared" si="1"/>
        <v>6.9565217391304346</v>
      </c>
    </row>
    <row r="71" spans="1:24" s="7" customFormat="1" x14ac:dyDescent="0.3">
      <c r="A71" t="s">
        <v>73</v>
      </c>
      <c r="B71" t="s">
        <v>87</v>
      </c>
      <c r="C71" s="68"/>
      <c r="D71" s="68"/>
      <c r="E71" s="68"/>
      <c r="F71" s="68"/>
      <c r="G71" s="68"/>
      <c r="H71" s="69"/>
      <c r="I71" s="68"/>
      <c r="J71" s="68"/>
      <c r="K71" s="68"/>
      <c r="L71" s="70"/>
      <c r="M71" s="68"/>
      <c r="N71" s="68"/>
      <c r="O71" s="64"/>
      <c r="P71" s="68"/>
      <c r="Q71" s="68"/>
      <c r="R71" s="68"/>
      <c r="S71" s="68"/>
      <c r="T71" s="68"/>
      <c r="U71" s="71"/>
      <c r="V71" s="71"/>
      <c r="W71" s="68" t="s">
        <v>398</v>
      </c>
      <c r="X71" s="72">
        <f t="shared" si="1"/>
        <v>26.086956521739129</v>
      </c>
    </row>
    <row r="72" spans="1:24" s="7" customFormat="1" x14ac:dyDescent="0.3">
      <c r="A72" t="s">
        <v>73</v>
      </c>
      <c r="B72" t="s">
        <v>87</v>
      </c>
      <c r="C72" s="68"/>
      <c r="D72" s="68"/>
      <c r="E72" s="68"/>
      <c r="F72" s="68"/>
      <c r="G72" s="68"/>
      <c r="H72" s="69"/>
      <c r="I72" s="68"/>
      <c r="J72" s="68"/>
      <c r="K72" s="68"/>
      <c r="L72" s="70"/>
      <c r="M72" s="68"/>
      <c r="N72" s="68"/>
      <c r="O72" s="64"/>
      <c r="P72" s="68"/>
      <c r="Q72" s="68"/>
      <c r="R72" s="68"/>
      <c r="S72" s="68"/>
      <c r="T72" s="68"/>
      <c r="U72" s="71"/>
      <c r="V72" s="71"/>
      <c r="W72" s="73" t="s">
        <v>399</v>
      </c>
      <c r="X72" s="72">
        <f>((X66-X60)/X60)*100</f>
        <v>0.48309178743962272</v>
      </c>
    </row>
    <row r="73" spans="1:24" s="7" customFormat="1" x14ac:dyDescent="0.3">
      <c r="A73" t="s">
        <v>73</v>
      </c>
      <c r="B73" t="s">
        <v>87</v>
      </c>
      <c r="C73" s="68"/>
      <c r="D73" s="68"/>
      <c r="E73" s="68"/>
      <c r="F73" s="68"/>
      <c r="G73" s="68"/>
      <c r="H73" s="69"/>
      <c r="I73" s="68"/>
      <c r="J73" s="68"/>
      <c r="K73" s="68"/>
      <c r="L73" s="70"/>
      <c r="M73" s="68"/>
      <c r="N73" s="68"/>
      <c r="O73" s="64"/>
      <c r="P73" s="68"/>
      <c r="Q73" s="68"/>
      <c r="R73" s="68"/>
      <c r="S73" s="68"/>
      <c r="T73" s="68"/>
      <c r="U73" s="71"/>
      <c r="V73" s="71"/>
      <c r="W73" s="64" t="s">
        <v>400</v>
      </c>
      <c r="X73" s="72">
        <f>((X67-X61)/X61)*100</f>
        <v>-32.173913043478265</v>
      </c>
    </row>
    <row r="74" spans="1:24" s="7" customFormat="1" x14ac:dyDescent="0.3">
      <c r="A74" t="s">
        <v>73</v>
      </c>
      <c r="B74" t="s">
        <v>87</v>
      </c>
      <c r="C74" s="68"/>
      <c r="D74" s="68"/>
      <c r="E74" s="68"/>
      <c r="F74" s="68"/>
      <c r="G74" s="68"/>
      <c r="H74" s="69"/>
      <c r="I74" s="68"/>
      <c r="J74" s="68"/>
      <c r="K74" s="68"/>
      <c r="L74" s="70"/>
      <c r="M74" s="68"/>
      <c r="N74" s="68"/>
      <c r="O74" s="64"/>
      <c r="P74" s="68"/>
      <c r="Q74" s="68"/>
      <c r="R74" s="68"/>
      <c r="S74" s="68"/>
      <c r="T74" s="68"/>
      <c r="U74" s="71"/>
      <c r="V74" s="71"/>
      <c r="W74" s="68" t="s">
        <v>401</v>
      </c>
      <c r="X74" s="72">
        <f t="shared" ref="X74:X77" si="2">((X68-X62)/X62)*100</f>
        <v>-32.173913043478265</v>
      </c>
    </row>
    <row r="75" spans="1:24" s="7" customFormat="1" x14ac:dyDescent="0.3">
      <c r="A75" t="s">
        <v>73</v>
      </c>
      <c r="B75" t="s">
        <v>87</v>
      </c>
      <c r="C75" s="68"/>
      <c r="D75" s="68"/>
      <c r="E75" s="68"/>
      <c r="F75" s="68"/>
      <c r="G75" s="68"/>
      <c r="H75" s="69"/>
      <c r="I75" s="68"/>
      <c r="J75" s="68"/>
      <c r="K75" s="68"/>
      <c r="L75" s="70"/>
      <c r="M75" s="68"/>
      <c r="N75" s="68"/>
      <c r="O75" s="64"/>
      <c r="P75" s="68"/>
      <c r="Q75" s="68"/>
      <c r="R75" s="68"/>
      <c r="S75" s="68"/>
      <c r="T75" s="68"/>
      <c r="U75" s="71"/>
      <c r="V75" s="71"/>
      <c r="W75" s="68" t="s">
        <v>402</v>
      </c>
      <c r="X75" s="72">
        <f t="shared" si="2"/>
        <v>148.57142857142856</v>
      </c>
    </row>
    <row r="76" spans="1:24" s="7" customFormat="1" x14ac:dyDescent="0.3">
      <c r="A76" t="s">
        <v>73</v>
      </c>
      <c r="B76" t="s">
        <v>87</v>
      </c>
      <c r="C76" s="68"/>
      <c r="D76" s="68"/>
      <c r="E76" s="68"/>
      <c r="F76" s="68"/>
      <c r="G76" s="68"/>
      <c r="H76" s="69"/>
      <c r="I76" s="68"/>
      <c r="J76" s="68"/>
      <c r="K76" s="68"/>
      <c r="L76" s="70"/>
      <c r="M76" s="68"/>
      <c r="N76" s="68"/>
      <c r="O76" s="64"/>
      <c r="P76" s="68"/>
      <c r="Q76" s="68"/>
      <c r="R76" s="68"/>
      <c r="S76" s="68"/>
      <c r="T76" s="68"/>
      <c r="U76" s="71"/>
      <c r="V76" s="71"/>
      <c r="W76" s="68" t="s">
        <v>403</v>
      </c>
      <c r="X76" s="72">
        <f t="shared" si="2"/>
        <v>-27.652173913043477</v>
      </c>
    </row>
    <row r="77" spans="1:24" s="7" customFormat="1" x14ac:dyDescent="0.3">
      <c r="A77" t="s">
        <v>73</v>
      </c>
      <c r="B77" t="s">
        <v>87</v>
      </c>
      <c r="C77" s="68"/>
      <c r="D77" s="68"/>
      <c r="E77" s="68"/>
      <c r="F77" s="68"/>
      <c r="G77" s="68"/>
      <c r="H77" s="69"/>
      <c r="I77" s="68"/>
      <c r="J77" s="68"/>
      <c r="K77" s="68"/>
      <c r="L77" s="70"/>
      <c r="M77" s="68"/>
      <c r="N77" s="68"/>
      <c r="O77" s="64"/>
      <c r="P77" s="68"/>
      <c r="Q77" s="68"/>
      <c r="R77" s="68"/>
      <c r="S77" s="68"/>
      <c r="T77" s="68"/>
      <c r="U77" s="71"/>
      <c r="V77" s="71"/>
      <c r="W77" s="68" t="s">
        <v>404</v>
      </c>
      <c r="X77" s="72">
        <f t="shared" si="2"/>
        <v>108.69565217391303</v>
      </c>
    </row>
    <row r="78" spans="1:24" s="7" customFormat="1" x14ac:dyDescent="0.3">
      <c r="A78" t="s">
        <v>73</v>
      </c>
      <c r="B78" t="s">
        <v>103</v>
      </c>
      <c r="C78"/>
      <c r="D78"/>
      <c r="E78"/>
      <c r="F78"/>
      <c r="G78"/>
      <c r="H78" t="s">
        <v>104</v>
      </c>
      <c r="I78"/>
      <c r="J78"/>
      <c r="K78"/>
      <c r="L78"/>
      <c r="M78"/>
      <c r="N78"/>
      <c r="O78"/>
      <c r="P78"/>
      <c r="Q78"/>
      <c r="R78"/>
      <c r="S78"/>
      <c r="T78"/>
      <c r="U78" t="s">
        <v>60</v>
      </c>
      <c r="V78" t="s">
        <v>61</v>
      </c>
      <c r="W78" t="s">
        <v>105</v>
      </c>
      <c r="X78">
        <v>8</v>
      </c>
    </row>
    <row r="79" spans="1:24" s="7" customFormat="1" x14ac:dyDescent="0.3">
      <c r="A79" t="s">
        <v>73</v>
      </c>
      <c r="B79" t="s">
        <v>103</v>
      </c>
      <c r="C79"/>
      <c r="D79"/>
      <c r="E79"/>
      <c r="F79"/>
      <c r="G79"/>
      <c r="H79" t="s">
        <v>104</v>
      </c>
      <c r="I79"/>
      <c r="J79"/>
      <c r="K79"/>
      <c r="L79"/>
      <c r="M79"/>
      <c r="N79"/>
      <c r="O79"/>
      <c r="P79"/>
      <c r="Q79"/>
      <c r="R79"/>
      <c r="S79"/>
      <c r="T79"/>
      <c r="U79" t="s">
        <v>60</v>
      </c>
      <c r="V79" t="s">
        <v>61</v>
      </c>
      <c r="W79" t="s">
        <v>106</v>
      </c>
      <c r="X79">
        <v>25</v>
      </c>
    </row>
    <row r="80" spans="1:24" s="7" customFormat="1" x14ac:dyDescent="0.3">
      <c r="A80" t="s">
        <v>73</v>
      </c>
      <c r="B80" t="s">
        <v>103</v>
      </c>
      <c r="C80"/>
      <c r="D80"/>
      <c r="E80"/>
      <c r="F80"/>
      <c r="G80"/>
      <c r="H80" t="s">
        <v>104</v>
      </c>
      <c r="I80"/>
      <c r="J80"/>
      <c r="K80"/>
      <c r="L80"/>
      <c r="M80"/>
      <c r="N80"/>
      <c r="O80"/>
      <c r="P80"/>
      <c r="Q80"/>
      <c r="R80"/>
      <c r="S80"/>
      <c r="T80"/>
      <c r="U80" t="s">
        <v>60</v>
      </c>
      <c r="V80" t="s">
        <v>61</v>
      </c>
      <c r="W80" t="s">
        <v>107</v>
      </c>
      <c r="X80">
        <v>16</v>
      </c>
    </row>
    <row r="81" spans="1:24" s="7" customFormat="1" x14ac:dyDescent="0.3">
      <c r="A81" t="s">
        <v>73</v>
      </c>
      <c r="B81" t="s">
        <v>103</v>
      </c>
      <c r="C81"/>
      <c r="D81"/>
      <c r="E81"/>
      <c r="F81"/>
      <c r="G81"/>
      <c r="H81" t="s">
        <v>104</v>
      </c>
      <c r="I81"/>
      <c r="J81"/>
      <c r="K81"/>
      <c r="L81"/>
      <c r="M81"/>
      <c r="N81"/>
      <c r="O81"/>
      <c r="P81"/>
      <c r="Q81"/>
      <c r="R81"/>
      <c r="S81"/>
      <c r="T81"/>
      <c r="U81" t="s">
        <v>60</v>
      </c>
      <c r="V81" t="s">
        <v>61</v>
      </c>
      <c r="W81" t="s">
        <v>108</v>
      </c>
      <c r="X81">
        <v>49</v>
      </c>
    </row>
    <row r="82" spans="1:24" s="7" customFormat="1" x14ac:dyDescent="0.3">
      <c r="A82" t="s">
        <v>73</v>
      </c>
      <c r="B82" t="s">
        <v>103</v>
      </c>
      <c r="C82"/>
      <c r="D82"/>
      <c r="E82"/>
      <c r="F82"/>
      <c r="G82"/>
      <c r="H82" t="s">
        <v>104</v>
      </c>
      <c r="I82"/>
      <c r="J82"/>
      <c r="K82"/>
      <c r="L82"/>
      <c r="M82"/>
      <c r="N82"/>
      <c r="O82"/>
      <c r="P82"/>
      <c r="Q82"/>
      <c r="R82"/>
      <c r="S82"/>
      <c r="T82"/>
      <c r="U82" t="s">
        <v>60</v>
      </c>
      <c r="V82" t="s">
        <v>61</v>
      </c>
      <c r="W82" t="s">
        <v>109</v>
      </c>
      <c r="X82">
        <v>139</v>
      </c>
    </row>
    <row r="83" spans="1:24" s="7" customFormat="1" x14ac:dyDescent="0.3">
      <c r="A83" t="s">
        <v>73</v>
      </c>
      <c r="B83" t="s">
        <v>110</v>
      </c>
      <c r="C83"/>
      <c r="D83"/>
      <c r="E83"/>
      <c r="F83"/>
      <c r="G83"/>
      <c r="H83" t="s">
        <v>111</v>
      </c>
      <c r="I83"/>
      <c r="J83"/>
      <c r="K83"/>
      <c r="L83"/>
      <c r="M83"/>
      <c r="N83"/>
      <c r="O83"/>
      <c r="P83"/>
      <c r="Q83"/>
      <c r="R83"/>
      <c r="S83"/>
      <c r="T83"/>
      <c r="U83" t="s">
        <v>60</v>
      </c>
      <c r="V83" t="s">
        <v>61</v>
      </c>
      <c r="W83" t="s">
        <v>408</v>
      </c>
      <c r="X83">
        <v>90.49</v>
      </c>
    </row>
    <row r="84" spans="1:24" s="7" customFormat="1" x14ac:dyDescent="0.3">
      <c r="A84" t="s">
        <v>73</v>
      </c>
      <c r="B84" t="s">
        <v>110</v>
      </c>
      <c r="C84"/>
      <c r="D84"/>
      <c r="E84"/>
      <c r="F84"/>
      <c r="G84"/>
      <c r="H84" t="s">
        <v>111</v>
      </c>
      <c r="I84"/>
      <c r="J84"/>
      <c r="K84"/>
      <c r="L84"/>
      <c r="M84"/>
      <c r="N84"/>
      <c r="O84"/>
      <c r="P84"/>
      <c r="Q84"/>
      <c r="R84"/>
      <c r="S84"/>
      <c r="T84"/>
      <c r="U84" t="s">
        <v>60</v>
      </c>
      <c r="V84" t="s">
        <v>61</v>
      </c>
      <c r="W84" t="s">
        <v>409</v>
      </c>
      <c r="X84">
        <v>95.71</v>
      </c>
    </row>
    <row r="85" spans="1:24" s="7" customFormat="1" x14ac:dyDescent="0.3">
      <c r="A85" t="s">
        <v>73</v>
      </c>
      <c r="B85" t="s">
        <v>110</v>
      </c>
      <c r="C85"/>
      <c r="D85"/>
      <c r="E85"/>
      <c r="F85"/>
      <c r="G85"/>
      <c r="H85" t="s">
        <v>111</v>
      </c>
      <c r="I85"/>
      <c r="J85"/>
      <c r="K85"/>
      <c r="L85"/>
      <c r="M85"/>
      <c r="N85"/>
      <c r="O85"/>
      <c r="P85"/>
      <c r="Q85"/>
      <c r="R85"/>
      <c r="S85"/>
      <c r="T85"/>
      <c r="U85" t="s">
        <v>60</v>
      </c>
      <c r="V85" t="s">
        <v>61</v>
      </c>
      <c r="W85" t="s">
        <v>410</v>
      </c>
      <c r="X85">
        <v>95.54</v>
      </c>
    </row>
    <row r="86" spans="1:24" s="7" customFormat="1" x14ac:dyDescent="0.3">
      <c r="A86" t="s">
        <v>73</v>
      </c>
      <c r="B86" t="s">
        <v>110</v>
      </c>
      <c r="C86"/>
      <c r="D86"/>
      <c r="E86"/>
      <c r="F86"/>
      <c r="G86"/>
      <c r="H86" t="s">
        <v>111</v>
      </c>
      <c r="I86"/>
      <c r="J86"/>
      <c r="K86"/>
      <c r="L86"/>
      <c r="M86"/>
      <c r="N86"/>
      <c r="O86"/>
      <c r="P86"/>
      <c r="Q86"/>
      <c r="R86"/>
      <c r="S86"/>
      <c r="T86"/>
      <c r="U86" t="s">
        <v>60</v>
      </c>
      <c r="V86" t="s">
        <v>61</v>
      </c>
      <c r="W86" t="s">
        <v>411</v>
      </c>
      <c r="X86">
        <v>95.51</v>
      </c>
    </row>
    <row r="87" spans="1:24" s="7" customFormat="1" x14ac:dyDescent="0.3">
      <c r="A87" s="7" t="s">
        <v>413</v>
      </c>
      <c r="B87" s="7" t="s">
        <v>414</v>
      </c>
      <c r="H87" s="8"/>
      <c r="L87" s="1"/>
      <c r="O87"/>
      <c r="U87" s="9"/>
      <c r="V87" s="9"/>
      <c r="W87" s="7" t="s">
        <v>415</v>
      </c>
      <c r="X87" s="66">
        <v>7740.3</v>
      </c>
    </row>
    <row r="88" spans="1:24" s="7" customFormat="1" x14ac:dyDescent="0.3">
      <c r="A88" s="7" t="s">
        <v>413</v>
      </c>
      <c r="B88" s="7" t="s">
        <v>414</v>
      </c>
      <c r="H88" s="8"/>
      <c r="L88" s="1"/>
      <c r="O88"/>
      <c r="U88" s="9"/>
      <c r="V88" s="9"/>
      <c r="W88" s="7" t="s">
        <v>416</v>
      </c>
      <c r="X88" s="66">
        <v>2106</v>
      </c>
    </row>
    <row r="89" spans="1:24" s="7" customFormat="1" x14ac:dyDescent="0.3">
      <c r="A89" s="7" t="s">
        <v>413</v>
      </c>
      <c r="B89" s="7" t="s">
        <v>414</v>
      </c>
      <c r="H89" s="8"/>
      <c r="L89" s="1"/>
      <c r="O89"/>
      <c r="U89" s="9"/>
      <c r="V89" s="9"/>
      <c r="W89" s="7" t="s">
        <v>417</v>
      </c>
      <c r="X89" s="66">
        <v>640.6</v>
      </c>
    </row>
    <row r="90" spans="1:24" s="7" customFormat="1" x14ac:dyDescent="0.3">
      <c r="A90" s="7" t="s">
        <v>413</v>
      </c>
      <c r="B90" s="7" t="s">
        <v>414</v>
      </c>
      <c r="H90" s="8"/>
      <c r="L90" s="1"/>
      <c r="O90"/>
      <c r="U90" s="9"/>
      <c r="V90" s="9"/>
      <c r="W90" s="7" t="s">
        <v>419</v>
      </c>
      <c r="X90" s="66">
        <v>9069.5</v>
      </c>
    </row>
    <row r="91" spans="1:24" s="7" customFormat="1" x14ac:dyDescent="0.3">
      <c r="A91" s="7" t="s">
        <v>413</v>
      </c>
      <c r="B91" s="7" t="s">
        <v>414</v>
      </c>
      <c r="H91" s="8"/>
      <c r="L91" s="1"/>
      <c r="O91"/>
      <c r="U91" s="9"/>
      <c r="V91" s="9"/>
      <c r="W91" s="7" t="s">
        <v>420</v>
      </c>
      <c r="X91" s="66">
        <v>1074.5999999999999</v>
      </c>
    </row>
    <row r="92" spans="1:24" s="7" customFormat="1" x14ac:dyDescent="0.3">
      <c r="A92" s="7" t="s">
        <v>413</v>
      </c>
      <c r="B92" s="7" t="s">
        <v>414</v>
      </c>
      <c r="H92" s="8"/>
      <c r="L92" s="1"/>
      <c r="O92"/>
      <c r="U92" s="9"/>
      <c r="V92" s="9"/>
      <c r="W92" s="7" t="s">
        <v>418</v>
      </c>
      <c r="X92" s="66">
        <v>668.2</v>
      </c>
    </row>
    <row r="93" spans="1:24" s="7" customFormat="1" x14ac:dyDescent="0.3">
      <c r="A93" s="7" t="s">
        <v>413</v>
      </c>
      <c r="B93" s="7" t="s">
        <v>414</v>
      </c>
      <c r="H93" s="8"/>
      <c r="L93" s="1"/>
      <c r="O93"/>
      <c r="U93" s="9"/>
      <c r="V93" s="9"/>
      <c r="W93" s="7" t="s">
        <v>421</v>
      </c>
      <c r="X93" s="66">
        <v>8224.4</v>
      </c>
    </row>
    <row r="94" spans="1:24" s="7" customFormat="1" x14ac:dyDescent="0.3">
      <c r="A94" s="7" t="s">
        <v>413</v>
      </c>
      <c r="B94" s="7" t="s">
        <v>414</v>
      </c>
      <c r="H94" s="8"/>
      <c r="L94" s="1"/>
      <c r="O94"/>
      <c r="U94" s="9"/>
      <c r="V94" s="9"/>
      <c r="W94" s="7" t="s">
        <v>422</v>
      </c>
      <c r="X94" s="66">
        <v>660.9</v>
      </c>
    </row>
    <row r="95" spans="1:24" s="7" customFormat="1" x14ac:dyDescent="0.3">
      <c r="A95" s="7" t="s">
        <v>413</v>
      </c>
      <c r="B95" s="7" t="s">
        <v>414</v>
      </c>
      <c r="H95" s="8"/>
      <c r="L95" s="1"/>
      <c r="O95"/>
      <c r="U95" s="9"/>
      <c r="V95" s="9"/>
      <c r="W95" s="7" t="s">
        <v>423</v>
      </c>
      <c r="X95" s="66">
        <v>419.5</v>
      </c>
    </row>
    <row r="96" spans="1:24" s="7" customFormat="1" x14ac:dyDescent="0.3">
      <c r="A96" s="7" t="s">
        <v>413</v>
      </c>
      <c r="B96" s="7" t="s">
        <v>414</v>
      </c>
      <c r="C96" s="68"/>
      <c r="D96" s="68"/>
      <c r="E96" s="68"/>
      <c r="F96" s="68"/>
      <c r="G96" s="68"/>
      <c r="H96" s="69"/>
      <c r="I96" s="68"/>
      <c r="J96" s="68"/>
      <c r="K96" s="68"/>
      <c r="L96" s="70"/>
      <c r="M96" s="68"/>
      <c r="N96" s="68"/>
      <c r="O96" s="64"/>
      <c r="P96" s="68"/>
      <c r="Q96" s="68"/>
      <c r="R96" s="68"/>
      <c r="S96" s="68"/>
      <c r="T96" s="68"/>
      <c r="U96" s="71"/>
      <c r="V96" s="71"/>
      <c r="W96" s="68" t="s">
        <v>424</v>
      </c>
      <c r="X96" s="72">
        <f>X87-X90</f>
        <v>-1329.1999999999998</v>
      </c>
    </row>
    <row r="97" spans="1:24" s="7" customFormat="1" x14ac:dyDescent="0.3">
      <c r="A97" s="7" t="s">
        <v>413</v>
      </c>
      <c r="B97" s="7" t="s">
        <v>414</v>
      </c>
      <c r="C97" s="68"/>
      <c r="D97" s="68"/>
      <c r="E97" s="68"/>
      <c r="F97" s="68"/>
      <c r="G97" s="68"/>
      <c r="H97" s="69"/>
      <c r="I97" s="68"/>
      <c r="J97" s="68"/>
      <c r="K97" s="68"/>
      <c r="L97" s="70"/>
      <c r="M97" s="68"/>
      <c r="N97" s="68"/>
      <c r="O97" s="64"/>
      <c r="P97" s="68"/>
      <c r="Q97" s="68"/>
      <c r="R97" s="68"/>
      <c r="S97" s="68"/>
      <c r="T97" s="68"/>
      <c r="U97" s="71"/>
      <c r="V97" s="71"/>
      <c r="W97" s="68" t="s">
        <v>425</v>
      </c>
      <c r="X97" s="72">
        <f t="shared" ref="X97:X101" si="3">X88-X91</f>
        <v>1031.4000000000001</v>
      </c>
    </row>
    <row r="98" spans="1:24" s="7" customFormat="1" x14ac:dyDescent="0.3">
      <c r="A98" s="7" t="s">
        <v>413</v>
      </c>
      <c r="B98" s="7" t="s">
        <v>414</v>
      </c>
      <c r="C98" s="68"/>
      <c r="D98" s="68"/>
      <c r="E98" s="68"/>
      <c r="F98" s="68"/>
      <c r="G98" s="68"/>
      <c r="H98" s="69"/>
      <c r="I98" s="68"/>
      <c r="J98" s="68"/>
      <c r="K98" s="68"/>
      <c r="L98" s="70"/>
      <c r="M98" s="68"/>
      <c r="N98" s="68"/>
      <c r="O98" s="64"/>
      <c r="P98" s="68"/>
      <c r="Q98" s="68"/>
      <c r="R98" s="68"/>
      <c r="S98" s="68"/>
      <c r="T98" s="68"/>
      <c r="U98" s="71"/>
      <c r="V98" s="71"/>
      <c r="W98" s="68" t="s">
        <v>426</v>
      </c>
      <c r="X98" s="72">
        <f t="shared" si="3"/>
        <v>-27.600000000000023</v>
      </c>
    </row>
    <row r="99" spans="1:24" s="7" customFormat="1" x14ac:dyDescent="0.3">
      <c r="A99" s="7" t="s">
        <v>413</v>
      </c>
      <c r="B99" s="7" t="s">
        <v>414</v>
      </c>
      <c r="C99" s="68"/>
      <c r="D99" s="68"/>
      <c r="E99" s="68"/>
      <c r="F99" s="68"/>
      <c r="G99" s="68"/>
      <c r="H99" s="69"/>
      <c r="I99" s="68"/>
      <c r="J99" s="68"/>
      <c r="K99" s="68"/>
      <c r="L99" s="70"/>
      <c r="M99" s="68"/>
      <c r="N99" s="68"/>
      <c r="O99" s="64"/>
      <c r="P99" s="68"/>
      <c r="Q99" s="68"/>
      <c r="R99" s="68"/>
      <c r="S99" s="68"/>
      <c r="T99" s="68"/>
      <c r="U99" s="71"/>
      <c r="V99" s="71"/>
      <c r="W99" s="68" t="s">
        <v>427</v>
      </c>
      <c r="X99" s="72">
        <f t="shared" si="3"/>
        <v>845.10000000000036</v>
      </c>
    </row>
    <row r="100" spans="1:24" s="7" customFormat="1" x14ac:dyDescent="0.3">
      <c r="A100" s="7" t="s">
        <v>413</v>
      </c>
      <c r="B100" s="7" t="s">
        <v>414</v>
      </c>
      <c r="C100" s="68"/>
      <c r="D100" s="68"/>
      <c r="E100" s="68"/>
      <c r="F100" s="68"/>
      <c r="G100" s="68"/>
      <c r="H100" s="69"/>
      <c r="I100" s="68"/>
      <c r="J100" s="68"/>
      <c r="K100" s="68"/>
      <c r="L100" s="70"/>
      <c r="M100" s="68"/>
      <c r="N100" s="68"/>
      <c r="O100" s="64"/>
      <c r="P100" s="68"/>
      <c r="Q100" s="68"/>
      <c r="R100" s="68"/>
      <c r="S100" s="68"/>
      <c r="T100" s="68"/>
      <c r="U100" s="71"/>
      <c r="V100" s="71"/>
      <c r="W100" s="68" t="s">
        <v>428</v>
      </c>
      <c r="X100" s="72">
        <f t="shared" si="3"/>
        <v>413.69999999999993</v>
      </c>
    </row>
    <row r="101" spans="1:24" s="7" customFormat="1" x14ac:dyDescent="0.3">
      <c r="A101" s="7" t="s">
        <v>413</v>
      </c>
      <c r="B101" s="7" t="s">
        <v>414</v>
      </c>
      <c r="C101" s="68"/>
      <c r="D101" s="68"/>
      <c r="E101" s="68"/>
      <c r="F101" s="68"/>
      <c r="G101" s="68"/>
      <c r="H101" s="69"/>
      <c r="I101" s="68"/>
      <c r="J101" s="68"/>
      <c r="K101" s="68"/>
      <c r="L101" s="70"/>
      <c r="M101" s="68"/>
      <c r="N101" s="68"/>
      <c r="O101" s="64"/>
      <c r="P101" s="68"/>
      <c r="Q101" s="68"/>
      <c r="R101" s="68"/>
      <c r="S101" s="68"/>
      <c r="T101" s="68"/>
      <c r="U101" s="71"/>
      <c r="V101" s="71"/>
      <c r="W101" s="68" t="s">
        <v>429</v>
      </c>
      <c r="X101" s="72">
        <f t="shared" si="3"/>
        <v>248.70000000000005</v>
      </c>
    </row>
    <row r="102" spans="1:24" s="7" customFormat="1" x14ac:dyDescent="0.3">
      <c r="A102" s="7" t="s">
        <v>413</v>
      </c>
      <c r="B102" s="7" t="s">
        <v>440</v>
      </c>
      <c r="H102" s="8"/>
      <c r="L102" s="1"/>
      <c r="O102"/>
      <c r="U102" s="9"/>
      <c r="V102" s="9"/>
      <c r="W102" s="7" t="s">
        <v>431</v>
      </c>
      <c r="X102" s="66">
        <v>457.3</v>
      </c>
    </row>
    <row r="103" spans="1:24" s="7" customFormat="1" x14ac:dyDescent="0.3">
      <c r="A103" s="7" t="s">
        <v>413</v>
      </c>
      <c r="B103" s="7" t="s">
        <v>440</v>
      </c>
      <c r="H103" s="8"/>
      <c r="L103" s="1"/>
      <c r="O103"/>
      <c r="U103" s="9"/>
      <c r="V103" s="9"/>
      <c r="W103" s="7" t="s">
        <v>432</v>
      </c>
      <c r="X103" s="66">
        <v>180.1</v>
      </c>
    </row>
    <row r="104" spans="1:24" s="7" customFormat="1" x14ac:dyDescent="0.3">
      <c r="A104" s="7" t="s">
        <v>413</v>
      </c>
      <c r="B104" s="7" t="s">
        <v>440</v>
      </c>
      <c r="H104" s="8"/>
      <c r="L104" s="1"/>
      <c r="O104"/>
      <c r="U104" s="9"/>
      <c r="V104" s="9"/>
      <c r="W104" s="7" t="s">
        <v>433</v>
      </c>
      <c r="X104" s="66">
        <v>6.1</v>
      </c>
    </row>
    <row r="105" spans="1:24" s="7" customFormat="1" x14ac:dyDescent="0.3">
      <c r="A105" s="7" t="s">
        <v>413</v>
      </c>
      <c r="B105" s="7" t="s">
        <v>440</v>
      </c>
      <c r="H105" s="8"/>
      <c r="L105" s="1"/>
      <c r="O105"/>
      <c r="U105" s="9"/>
      <c r="V105" s="9"/>
      <c r="W105" s="7" t="s">
        <v>434</v>
      </c>
      <c r="X105" s="66">
        <v>436.4</v>
      </c>
    </row>
    <row r="106" spans="1:24" s="7" customFormat="1" x14ac:dyDescent="0.3">
      <c r="A106" s="7" t="s">
        <v>413</v>
      </c>
      <c r="B106" s="7" t="s">
        <v>440</v>
      </c>
      <c r="H106" s="8"/>
      <c r="L106" s="1"/>
      <c r="O106"/>
      <c r="U106" s="9"/>
      <c r="V106" s="9"/>
      <c r="W106" s="7" t="s">
        <v>435</v>
      </c>
      <c r="X106" s="66">
        <v>126</v>
      </c>
    </row>
    <row r="107" spans="1:24" s="7" customFormat="1" x14ac:dyDescent="0.3">
      <c r="A107" s="7" t="s">
        <v>413</v>
      </c>
      <c r="B107" s="7" t="s">
        <v>440</v>
      </c>
      <c r="H107" s="8"/>
      <c r="L107" s="1"/>
      <c r="O107"/>
      <c r="U107" s="9"/>
      <c r="V107" s="9"/>
      <c r="W107" s="7" t="s">
        <v>436</v>
      </c>
      <c r="X107" s="66">
        <v>41.5</v>
      </c>
    </row>
    <row r="108" spans="1:24" s="7" customFormat="1" x14ac:dyDescent="0.3">
      <c r="A108" s="7" t="s">
        <v>413</v>
      </c>
      <c r="B108" s="7" t="s">
        <v>440</v>
      </c>
      <c r="C108" s="68"/>
      <c r="D108" s="68"/>
      <c r="E108" s="68"/>
      <c r="F108" s="68"/>
      <c r="G108" s="68"/>
      <c r="H108" s="69"/>
      <c r="I108" s="68"/>
      <c r="J108" s="68"/>
      <c r="K108" s="68"/>
      <c r="L108" s="70"/>
      <c r="M108" s="68"/>
      <c r="N108" s="68"/>
      <c r="O108" s="64"/>
      <c r="P108" s="68"/>
      <c r="Q108" s="68"/>
      <c r="R108" s="68"/>
      <c r="S108" s="68"/>
      <c r="T108" s="68"/>
      <c r="U108" s="71"/>
      <c r="V108" s="71"/>
      <c r="W108" s="68" t="s">
        <v>437</v>
      </c>
      <c r="X108" s="72">
        <f>X104-X107</f>
        <v>-35.4</v>
      </c>
    </row>
    <row r="109" spans="1:24" s="7" customFormat="1" x14ac:dyDescent="0.3">
      <c r="A109" s="7" t="s">
        <v>413</v>
      </c>
      <c r="B109" s="7" t="s">
        <v>440</v>
      </c>
      <c r="C109" s="68"/>
      <c r="D109" s="68"/>
      <c r="E109" s="68"/>
      <c r="F109" s="68"/>
      <c r="G109" s="68"/>
      <c r="H109" s="69"/>
      <c r="I109" s="68"/>
      <c r="J109" s="68"/>
      <c r="K109" s="68"/>
      <c r="L109" s="70"/>
      <c r="M109" s="68"/>
      <c r="N109" s="68"/>
      <c r="O109" s="64"/>
      <c r="P109" s="68"/>
      <c r="Q109" s="68"/>
      <c r="R109" s="68"/>
      <c r="S109" s="68"/>
      <c r="T109" s="68"/>
      <c r="U109" s="71"/>
      <c r="V109" s="71"/>
      <c r="W109" s="68" t="s">
        <v>438</v>
      </c>
      <c r="X109" s="72">
        <f>X103-X106</f>
        <v>54.099999999999994</v>
      </c>
    </row>
    <row r="110" spans="1:24" s="7" customFormat="1" x14ac:dyDescent="0.3">
      <c r="A110" s="7" t="s">
        <v>413</v>
      </c>
      <c r="B110" s="7" t="s">
        <v>440</v>
      </c>
      <c r="C110" s="68"/>
      <c r="D110" s="68"/>
      <c r="E110" s="68"/>
      <c r="F110" s="68"/>
      <c r="G110" s="68"/>
      <c r="H110" s="69"/>
      <c r="I110" s="68"/>
      <c r="J110" s="68"/>
      <c r="K110" s="68"/>
      <c r="L110" s="70"/>
      <c r="M110" s="68"/>
      <c r="N110" s="68"/>
      <c r="O110" s="64"/>
      <c r="P110" s="68"/>
      <c r="Q110" s="68"/>
      <c r="R110" s="68"/>
      <c r="S110" s="68"/>
      <c r="T110" s="68"/>
      <c r="U110" s="71"/>
      <c r="V110" s="71"/>
      <c r="W110" s="68" t="s">
        <v>439</v>
      </c>
      <c r="X110" s="72">
        <f>X102-X105</f>
        <v>20.900000000000034</v>
      </c>
    </row>
    <row r="111" spans="1:24" s="7" customFormat="1" x14ac:dyDescent="0.3">
      <c r="A111" s="7" t="s">
        <v>413</v>
      </c>
      <c r="B111" s="7" t="s">
        <v>442</v>
      </c>
      <c r="H111" s="8"/>
      <c r="L111" s="1"/>
      <c r="O111" s="64"/>
      <c r="U111" s="9"/>
      <c r="V111" s="9"/>
      <c r="W111" s="7" t="s">
        <v>443</v>
      </c>
      <c r="X111" s="66">
        <v>2412.86</v>
      </c>
    </row>
    <row r="112" spans="1:24" s="7" customFormat="1" x14ac:dyDescent="0.3">
      <c r="A112" s="7" t="s">
        <v>413</v>
      </c>
      <c r="B112" s="7" t="s">
        <v>442</v>
      </c>
      <c r="H112" s="8"/>
      <c r="L112" s="1"/>
      <c r="O112" s="64"/>
      <c r="U112" s="9"/>
      <c r="V112" s="9"/>
      <c r="W112" s="7" t="s">
        <v>444</v>
      </c>
      <c r="X112" s="66">
        <v>9808.1309999999994</v>
      </c>
    </row>
    <row r="113" spans="1:26" s="7" customFormat="1" x14ac:dyDescent="0.3">
      <c r="A113" s="7" t="s">
        <v>413</v>
      </c>
      <c r="B113" s="7" t="s">
        <v>442</v>
      </c>
      <c r="H113" s="8"/>
      <c r="L113" s="1"/>
      <c r="O113" s="64"/>
      <c r="U113" s="9"/>
      <c r="V113" s="9"/>
      <c r="W113" s="7" t="s">
        <v>445</v>
      </c>
      <c r="X113" s="66">
        <v>2367.14</v>
      </c>
    </row>
    <row r="114" spans="1:26" s="7" customFormat="1" x14ac:dyDescent="0.3">
      <c r="A114" s="7" t="s">
        <v>413</v>
      </c>
      <c r="B114" s="7" t="s">
        <v>442</v>
      </c>
      <c r="H114" s="8"/>
      <c r="L114" s="1"/>
      <c r="O114" s="64"/>
      <c r="U114" s="9"/>
      <c r="V114" s="9"/>
      <c r="W114" s="7" t="s">
        <v>446</v>
      </c>
      <c r="X114" s="66">
        <v>846.1</v>
      </c>
      <c r="Y114" s="84"/>
    </row>
    <row r="115" spans="1:26" s="7" customFormat="1" x14ac:dyDescent="0.3">
      <c r="A115" s="7" t="s">
        <v>413</v>
      </c>
      <c r="B115" s="7" t="s">
        <v>442</v>
      </c>
      <c r="H115" s="8"/>
      <c r="L115" s="1"/>
      <c r="O115" s="64"/>
      <c r="U115" s="9"/>
      <c r="V115" s="9"/>
      <c r="W115" s="7" t="s">
        <v>447</v>
      </c>
      <c r="X115" s="66">
        <v>215.77</v>
      </c>
    </row>
    <row r="116" spans="1:26" s="7" customFormat="1" x14ac:dyDescent="0.3">
      <c r="A116" s="7" t="s">
        <v>413</v>
      </c>
      <c r="B116" s="7" t="s">
        <v>442</v>
      </c>
      <c r="H116" s="8"/>
      <c r="L116" s="1"/>
      <c r="O116" s="64"/>
      <c r="U116" s="9"/>
      <c r="V116" s="9"/>
      <c r="W116" s="7" t="s">
        <v>448</v>
      </c>
      <c r="X116" s="66">
        <v>4751.88</v>
      </c>
    </row>
    <row r="117" spans="1:26" s="7" customFormat="1" x14ac:dyDescent="0.3">
      <c r="A117" s="7" t="s">
        <v>413</v>
      </c>
      <c r="B117" s="7" t="s">
        <v>442</v>
      </c>
      <c r="H117" s="8"/>
      <c r="L117" s="1"/>
      <c r="O117" s="64"/>
      <c r="U117" s="9"/>
      <c r="V117" s="9"/>
      <c r="W117" s="7" t="s">
        <v>449</v>
      </c>
      <c r="X117" s="66">
        <v>1538.28</v>
      </c>
    </row>
    <row r="118" spans="1:26" s="7" customFormat="1" x14ac:dyDescent="0.3">
      <c r="A118" s="7" t="s">
        <v>413</v>
      </c>
      <c r="B118" s="7" t="s">
        <v>442</v>
      </c>
      <c r="H118" s="8"/>
      <c r="L118" s="1"/>
      <c r="O118" s="64"/>
      <c r="U118" s="9"/>
      <c r="V118" s="9"/>
      <c r="W118" s="7" t="s">
        <v>450</v>
      </c>
      <c r="X118" s="66">
        <v>15325.8</v>
      </c>
      <c r="Y118" s="84"/>
    </row>
    <row r="119" spans="1:26" s="7" customFormat="1" x14ac:dyDescent="0.3">
      <c r="A119" s="7" t="s">
        <v>413</v>
      </c>
      <c r="B119" s="7" t="s">
        <v>442</v>
      </c>
      <c r="H119" s="8"/>
      <c r="L119" s="1"/>
      <c r="O119" s="64"/>
      <c r="U119" s="9"/>
      <c r="V119" s="9"/>
      <c r="W119" s="7" t="s">
        <v>451</v>
      </c>
      <c r="X119" s="66">
        <v>14047.495000000001</v>
      </c>
    </row>
    <row r="120" spans="1:26" s="7" customFormat="1" x14ac:dyDescent="0.3">
      <c r="A120" s="7" t="s">
        <v>413</v>
      </c>
      <c r="B120" s="7" t="s">
        <v>442</v>
      </c>
      <c r="H120" s="8"/>
      <c r="L120" s="1"/>
      <c r="O120" s="64"/>
      <c r="U120" s="9"/>
      <c r="V120" s="9"/>
      <c r="W120" s="7" t="s">
        <v>452</v>
      </c>
      <c r="X120" s="66">
        <v>5737.6959999999999</v>
      </c>
    </row>
    <row r="121" spans="1:26" s="7" customFormat="1" x14ac:dyDescent="0.3">
      <c r="A121" s="7" t="s">
        <v>413</v>
      </c>
      <c r="B121" s="7" t="s">
        <v>442</v>
      </c>
      <c r="H121" s="8"/>
      <c r="L121" s="1"/>
      <c r="O121" s="64"/>
      <c r="U121" s="9"/>
      <c r="V121" s="9"/>
      <c r="W121" s="7" t="s">
        <v>453</v>
      </c>
      <c r="X121" s="66">
        <v>4546.1180000000004</v>
      </c>
    </row>
    <row r="122" spans="1:26" s="7" customFormat="1" x14ac:dyDescent="0.3">
      <c r="A122" s="7" t="s">
        <v>413</v>
      </c>
      <c r="B122" s="7" t="s">
        <v>442</v>
      </c>
      <c r="H122" s="8"/>
      <c r="L122" s="1"/>
      <c r="O122" s="64"/>
      <c r="U122" s="9"/>
      <c r="V122" s="9"/>
      <c r="W122" s="7" t="s">
        <v>454</v>
      </c>
      <c r="X122" s="66">
        <v>2657.55</v>
      </c>
      <c r="Y122" s="84"/>
      <c r="Z122" s="84"/>
    </row>
    <row r="123" spans="1:26" s="7" customFormat="1" x14ac:dyDescent="0.3">
      <c r="A123" s="7" t="s">
        <v>413</v>
      </c>
      <c r="B123" s="7" t="s">
        <v>442</v>
      </c>
      <c r="C123" s="68"/>
      <c r="D123" s="68"/>
      <c r="E123" s="68"/>
      <c r="F123" s="68"/>
      <c r="G123" s="68"/>
      <c r="H123" s="69"/>
      <c r="I123" s="68"/>
      <c r="J123" s="68"/>
      <c r="K123" s="68"/>
      <c r="L123" s="70"/>
      <c r="M123" s="68"/>
      <c r="N123" s="68"/>
      <c r="O123" s="64"/>
      <c r="P123" s="68"/>
      <c r="Q123" s="68"/>
      <c r="R123" s="68"/>
      <c r="S123" s="68"/>
      <c r="T123" s="68"/>
      <c r="U123" s="71"/>
      <c r="V123" s="71"/>
      <c r="W123" s="68" t="s">
        <v>455</v>
      </c>
      <c r="X123" s="72">
        <f>((X112-X111)/X111)*100</f>
        <v>306.49399467851424</v>
      </c>
      <c r="Y123" s="84"/>
    </row>
    <row r="124" spans="1:26" s="7" customFormat="1" x14ac:dyDescent="0.3">
      <c r="A124" s="7" t="s">
        <v>413</v>
      </c>
      <c r="B124" s="7" t="s">
        <v>442</v>
      </c>
      <c r="C124" s="68"/>
      <c r="D124" s="68"/>
      <c r="E124" s="68"/>
      <c r="F124" s="68"/>
      <c r="G124" s="68"/>
      <c r="H124" s="69"/>
      <c r="I124" s="68"/>
      <c r="J124" s="68"/>
      <c r="K124" s="68"/>
      <c r="L124" s="70"/>
      <c r="M124" s="68"/>
      <c r="N124" s="68"/>
      <c r="O124" s="64"/>
      <c r="P124" s="68"/>
      <c r="Q124" s="68"/>
      <c r="R124" s="68"/>
      <c r="S124" s="68"/>
      <c r="T124" s="68"/>
      <c r="U124" s="71"/>
      <c r="V124" s="71"/>
      <c r="W124" s="68" t="s">
        <v>456</v>
      </c>
      <c r="X124" s="72">
        <f t="shared" ref="X124:X125" si="4">((X113-X112)/X112)*100</f>
        <v>-75.865534422409326</v>
      </c>
      <c r="Y124" s="84"/>
    </row>
    <row r="125" spans="1:26" s="7" customFormat="1" x14ac:dyDescent="0.3">
      <c r="A125" s="7" t="s">
        <v>413</v>
      </c>
      <c r="B125" s="7" t="s">
        <v>442</v>
      </c>
      <c r="C125" s="68"/>
      <c r="D125" s="68"/>
      <c r="E125" s="68"/>
      <c r="F125" s="68"/>
      <c r="G125" s="68"/>
      <c r="H125" s="69"/>
      <c r="I125" s="68"/>
      <c r="J125" s="68"/>
      <c r="K125" s="68"/>
      <c r="L125" s="70"/>
      <c r="M125" s="68"/>
      <c r="N125" s="68"/>
      <c r="O125" s="64"/>
      <c r="P125" s="68"/>
      <c r="Q125" s="68"/>
      <c r="R125" s="68"/>
      <c r="S125" s="68"/>
      <c r="T125" s="68"/>
      <c r="U125" s="71"/>
      <c r="V125" s="71"/>
      <c r="W125" s="68" t="s">
        <v>457</v>
      </c>
      <c r="X125" s="72">
        <f t="shared" si="4"/>
        <v>-64.256444485750734</v>
      </c>
      <c r="Y125" s="84"/>
      <c r="Z125" s="84"/>
    </row>
    <row r="126" spans="1:26" s="7" customFormat="1" x14ac:dyDescent="0.3">
      <c r="A126" s="7" t="s">
        <v>413</v>
      </c>
      <c r="B126" s="7" t="s">
        <v>442</v>
      </c>
      <c r="C126" s="68"/>
      <c r="D126" s="68"/>
      <c r="E126" s="68"/>
      <c r="F126" s="68"/>
      <c r="G126" s="68"/>
      <c r="H126" s="69"/>
      <c r="I126" s="68"/>
      <c r="J126" s="68"/>
      <c r="K126" s="68"/>
      <c r="L126" s="70"/>
      <c r="M126" s="68"/>
      <c r="N126" s="68"/>
      <c r="O126" s="64"/>
      <c r="P126" s="68"/>
      <c r="Q126" s="68"/>
      <c r="R126" s="68"/>
      <c r="S126" s="68"/>
      <c r="T126" s="68"/>
      <c r="U126" s="71"/>
      <c r="V126" s="71"/>
      <c r="W126" s="68" t="s">
        <v>458</v>
      </c>
      <c r="X126" s="72">
        <f>((X116-X115)/X115)*100</f>
        <v>2102.2894749038323</v>
      </c>
    </row>
    <row r="127" spans="1:26" s="7" customFormat="1" x14ac:dyDescent="0.3">
      <c r="A127" s="7" t="s">
        <v>413</v>
      </c>
      <c r="B127" s="7" t="s">
        <v>442</v>
      </c>
      <c r="C127" s="68"/>
      <c r="D127" s="68"/>
      <c r="E127" s="68"/>
      <c r="F127" s="68"/>
      <c r="G127" s="68"/>
      <c r="H127" s="69"/>
      <c r="I127" s="68"/>
      <c r="J127" s="68"/>
      <c r="K127" s="68"/>
      <c r="L127" s="70"/>
      <c r="M127" s="68"/>
      <c r="N127" s="68"/>
      <c r="O127" s="64"/>
      <c r="P127" s="68"/>
      <c r="Q127" s="68"/>
      <c r="R127" s="68"/>
      <c r="S127" s="68"/>
      <c r="T127" s="68"/>
      <c r="U127" s="71"/>
      <c r="V127" s="71"/>
      <c r="W127" s="68" t="s">
        <v>459</v>
      </c>
      <c r="X127" s="72">
        <f t="shared" ref="X127:X128" si="5">((X117-X116)/X116)*100</f>
        <v>-67.62797040329302</v>
      </c>
    </row>
    <row r="128" spans="1:26" s="7" customFormat="1" x14ac:dyDescent="0.3">
      <c r="A128" s="7" t="s">
        <v>413</v>
      </c>
      <c r="B128" s="7" t="s">
        <v>442</v>
      </c>
      <c r="C128" s="68"/>
      <c r="D128" s="68"/>
      <c r="E128" s="68"/>
      <c r="F128" s="68"/>
      <c r="G128" s="68"/>
      <c r="H128" s="69"/>
      <c r="I128" s="68"/>
      <c r="J128" s="68"/>
      <c r="K128" s="68"/>
      <c r="L128" s="70"/>
      <c r="M128" s="68"/>
      <c r="N128" s="68"/>
      <c r="O128" s="64"/>
      <c r="P128" s="68"/>
      <c r="Q128" s="68"/>
      <c r="R128" s="68"/>
      <c r="S128" s="68"/>
      <c r="T128" s="68"/>
      <c r="U128" s="71"/>
      <c r="V128" s="71"/>
      <c r="W128" s="68" t="s">
        <v>460</v>
      </c>
      <c r="X128" s="72">
        <f t="shared" si="5"/>
        <v>896.29456275840539</v>
      </c>
    </row>
    <row r="129" spans="1:25" s="7" customFormat="1" x14ac:dyDescent="0.3">
      <c r="A129" s="7" t="s">
        <v>413</v>
      </c>
      <c r="B129" s="7" t="s">
        <v>442</v>
      </c>
      <c r="C129" s="68"/>
      <c r="D129" s="68"/>
      <c r="E129" s="68"/>
      <c r="F129" s="68"/>
      <c r="G129" s="68"/>
      <c r="H129" s="69"/>
      <c r="I129" s="68"/>
      <c r="J129" s="68"/>
      <c r="K129" s="68"/>
      <c r="L129" s="70"/>
      <c r="M129" s="68"/>
      <c r="N129" s="68"/>
      <c r="O129" s="64"/>
      <c r="P129" s="68"/>
      <c r="Q129" s="68"/>
      <c r="R129" s="68"/>
      <c r="S129" s="68"/>
      <c r="T129" s="68"/>
      <c r="U129" s="71"/>
      <c r="V129" s="71"/>
      <c r="W129" s="68" t="s">
        <v>461</v>
      </c>
      <c r="X129" s="72">
        <f>((X120-X119)/X119)*100</f>
        <v>-59.155023724870524</v>
      </c>
    </row>
    <row r="130" spans="1:25" s="7" customFormat="1" x14ac:dyDescent="0.3">
      <c r="A130" s="7" t="s">
        <v>413</v>
      </c>
      <c r="B130" s="7" t="s">
        <v>442</v>
      </c>
      <c r="C130" s="68"/>
      <c r="D130" s="68"/>
      <c r="E130" s="68"/>
      <c r="F130" s="68"/>
      <c r="G130" s="68"/>
      <c r="H130" s="69"/>
      <c r="I130" s="68"/>
      <c r="J130" s="68"/>
      <c r="K130" s="68"/>
      <c r="L130" s="70"/>
      <c r="M130" s="68"/>
      <c r="N130" s="68"/>
      <c r="O130" s="64"/>
      <c r="P130" s="68"/>
      <c r="Q130" s="68"/>
      <c r="R130" s="68"/>
      <c r="S130" s="68"/>
      <c r="T130" s="68"/>
      <c r="U130" s="71"/>
      <c r="V130" s="71"/>
      <c r="W130" s="68" t="s">
        <v>462</v>
      </c>
      <c r="X130" s="72">
        <f t="shared" ref="X130:X131" si="6">((X121-X120)/X120)*100</f>
        <v>-20.767534564396573</v>
      </c>
    </row>
    <row r="131" spans="1:25" s="7" customFormat="1" x14ac:dyDescent="0.3">
      <c r="A131" s="7" t="s">
        <v>413</v>
      </c>
      <c r="B131" s="7" t="s">
        <v>442</v>
      </c>
      <c r="C131" s="68"/>
      <c r="D131" s="68"/>
      <c r="E131" s="68"/>
      <c r="F131" s="68"/>
      <c r="G131" s="68"/>
      <c r="H131" s="69"/>
      <c r="I131" s="68"/>
      <c r="J131" s="68"/>
      <c r="K131" s="68"/>
      <c r="L131" s="70"/>
      <c r="M131" s="68"/>
      <c r="N131" s="68"/>
      <c r="O131" s="64"/>
      <c r="P131" s="68"/>
      <c r="Q131" s="68"/>
      <c r="R131" s="68"/>
      <c r="S131" s="68"/>
      <c r="T131" s="68"/>
      <c r="U131" s="71"/>
      <c r="V131" s="71"/>
      <c r="W131" s="68" t="s">
        <v>463</v>
      </c>
      <c r="X131" s="72">
        <f t="shared" si="6"/>
        <v>-41.54243246655718</v>
      </c>
      <c r="Y131" s="84"/>
    </row>
    <row r="132" spans="1:25" s="7" customFormat="1" ht="28.8" x14ac:dyDescent="0.3">
      <c r="A132" s="7" t="s">
        <v>413</v>
      </c>
      <c r="B132" s="8" t="s">
        <v>465</v>
      </c>
      <c r="H132" s="8"/>
      <c r="L132" s="1"/>
      <c r="O132"/>
      <c r="U132" s="9"/>
      <c r="V132" s="9"/>
      <c r="W132" s="7" t="s">
        <v>466</v>
      </c>
      <c r="X132" s="66">
        <v>871251.54</v>
      </c>
      <c r="Y132" s="84"/>
    </row>
    <row r="133" spans="1:25" s="7" customFormat="1" ht="28.8" x14ac:dyDescent="0.3">
      <c r="A133" s="7" t="s">
        <v>413</v>
      </c>
      <c r="B133" s="8" t="s">
        <v>465</v>
      </c>
      <c r="H133" s="8"/>
      <c r="L133" s="1"/>
      <c r="O133"/>
      <c r="U133" s="9"/>
      <c r="V133" s="9"/>
      <c r="W133" s="7" t="s">
        <v>516</v>
      </c>
      <c r="X133" s="66">
        <v>235004.15</v>
      </c>
      <c r="Y133" s="84"/>
    </row>
    <row r="134" spans="1:25" s="7" customFormat="1" ht="28.8" x14ac:dyDescent="0.3">
      <c r="A134" s="7" t="s">
        <v>413</v>
      </c>
      <c r="B134" s="8" t="s">
        <v>465</v>
      </c>
      <c r="H134" s="8"/>
      <c r="L134" s="1"/>
      <c r="O134"/>
      <c r="U134" s="9"/>
      <c r="V134" s="9"/>
      <c r="W134" s="7" t="s">
        <v>517</v>
      </c>
      <c r="X134" s="66">
        <v>1750899.24</v>
      </c>
      <c r="Y134" s="84"/>
    </row>
    <row r="135" spans="1:25" s="7" customFormat="1" ht="28.8" x14ac:dyDescent="0.3">
      <c r="A135" s="7" t="s">
        <v>413</v>
      </c>
      <c r="B135" s="8" t="s">
        <v>465</v>
      </c>
      <c r="H135" s="8"/>
      <c r="L135" s="1"/>
      <c r="O135"/>
      <c r="U135" s="9"/>
      <c r="V135" s="9"/>
      <c r="W135" s="7" t="s">
        <v>467</v>
      </c>
      <c r="X135" s="66">
        <f>SUM(X132:X134)</f>
        <v>2857154.9299999997</v>
      </c>
      <c r="Y135" s="84"/>
    </row>
    <row r="136" spans="1:25" s="7" customFormat="1" ht="28.8" x14ac:dyDescent="0.3">
      <c r="A136" s="7" t="s">
        <v>413</v>
      </c>
      <c r="B136" s="8" t="s">
        <v>465</v>
      </c>
      <c r="H136" s="8"/>
      <c r="L136" s="1"/>
      <c r="O136"/>
      <c r="U136" s="9"/>
      <c r="V136" s="9"/>
      <c r="W136" s="7" t="s">
        <v>468</v>
      </c>
      <c r="X136" s="66">
        <v>84561.53</v>
      </c>
      <c r="Y136" s="84"/>
    </row>
    <row r="137" spans="1:25" s="7" customFormat="1" ht="28.8" x14ac:dyDescent="0.3">
      <c r="A137" s="7" t="s">
        <v>413</v>
      </c>
      <c r="B137" s="8" t="s">
        <v>465</v>
      </c>
      <c r="H137" s="8"/>
      <c r="L137" s="1"/>
      <c r="O137"/>
      <c r="U137" s="9"/>
      <c r="V137" s="9"/>
      <c r="W137" s="7" t="s">
        <v>483</v>
      </c>
      <c r="X137" s="66">
        <v>35097.71</v>
      </c>
      <c r="Y137" s="84"/>
    </row>
    <row r="138" spans="1:25" s="7" customFormat="1" ht="28.8" x14ac:dyDescent="0.3">
      <c r="A138" s="7" t="s">
        <v>413</v>
      </c>
      <c r="B138" s="8" t="s">
        <v>465</v>
      </c>
      <c r="H138" s="8"/>
      <c r="L138" s="1"/>
      <c r="O138"/>
      <c r="U138" s="9"/>
      <c r="V138" s="9"/>
      <c r="W138" s="7" t="s">
        <v>484</v>
      </c>
      <c r="X138" s="66">
        <v>199089.18</v>
      </c>
      <c r="Y138" s="84"/>
    </row>
    <row r="139" spans="1:25" s="7" customFormat="1" ht="28.8" x14ac:dyDescent="0.3">
      <c r="A139" s="7" t="s">
        <v>413</v>
      </c>
      <c r="B139" s="8" t="s">
        <v>465</v>
      </c>
      <c r="H139" s="8"/>
      <c r="L139" s="1"/>
      <c r="O139"/>
      <c r="U139" s="9"/>
      <c r="V139" s="9"/>
      <c r="W139" s="7" t="s">
        <v>485</v>
      </c>
      <c r="X139" s="66">
        <v>288791.90999999997</v>
      </c>
      <c r="Y139" s="84"/>
    </row>
    <row r="140" spans="1:25" s="7" customFormat="1" ht="28.8" x14ac:dyDescent="0.3">
      <c r="A140" s="7" t="s">
        <v>413</v>
      </c>
      <c r="B140" s="8" t="s">
        <v>465</v>
      </c>
      <c r="H140" s="8"/>
      <c r="L140" s="1"/>
      <c r="O140"/>
      <c r="U140" s="9"/>
      <c r="V140" s="9"/>
      <c r="W140" s="7" t="s">
        <v>469</v>
      </c>
      <c r="X140" s="66">
        <v>107941.9</v>
      </c>
      <c r="Y140" s="84"/>
    </row>
    <row r="141" spans="1:25" s="7" customFormat="1" ht="28.8" x14ac:dyDescent="0.3">
      <c r="A141" s="7" t="s">
        <v>413</v>
      </c>
      <c r="B141" s="8" t="s">
        <v>465</v>
      </c>
      <c r="H141" s="8"/>
      <c r="L141" s="1"/>
      <c r="O141"/>
      <c r="U141" s="9"/>
      <c r="V141" s="9"/>
      <c r="W141" s="7" t="s">
        <v>486</v>
      </c>
      <c r="X141" s="66">
        <v>396772.81</v>
      </c>
      <c r="Y141" s="84"/>
    </row>
    <row r="142" spans="1:25" s="7" customFormat="1" ht="28.8" x14ac:dyDescent="0.3">
      <c r="A142" s="7" t="s">
        <v>413</v>
      </c>
      <c r="B142" s="8" t="s">
        <v>465</v>
      </c>
      <c r="H142" s="8"/>
      <c r="L142" s="1"/>
      <c r="O142"/>
      <c r="U142" s="9"/>
      <c r="V142" s="9"/>
      <c r="W142" s="7" t="s">
        <v>487</v>
      </c>
      <c r="X142" s="66">
        <v>159450.54</v>
      </c>
      <c r="Y142" s="84"/>
    </row>
    <row r="143" spans="1:25" s="7" customFormat="1" ht="28.8" x14ac:dyDescent="0.3">
      <c r="A143" s="7" t="s">
        <v>413</v>
      </c>
      <c r="B143" s="8" t="s">
        <v>465</v>
      </c>
      <c r="H143" s="8"/>
      <c r="L143" s="1"/>
      <c r="O143"/>
      <c r="U143" s="9"/>
      <c r="V143" s="9"/>
      <c r="W143" s="7" t="s">
        <v>488</v>
      </c>
      <c r="X143" s="66">
        <v>26470.93</v>
      </c>
      <c r="Y143" s="84"/>
    </row>
    <row r="144" spans="1:25" s="7" customFormat="1" ht="28.8" x14ac:dyDescent="0.3">
      <c r="A144" s="7" t="s">
        <v>413</v>
      </c>
      <c r="B144" s="8" t="s">
        <v>465</v>
      </c>
      <c r="H144" s="8"/>
      <c r="L144" s="1"/>
      <c r="O144"/>
      <c r="U144" s="9"/>
      <c r="V144" s="9"/>
      <c r="W144" s="7" t="s">
        <v>473</v>
      </c>
      <c r="X144" s="66">
        <v>362855.98</v>
      </c>
      <c r="Y144" s="84"/>
    </row>
    <row r="145" spans="1:25" s="7" customFormat="1" ht="28.8" x14ac:dyDescent="0.3">
      <c r="A145" s="7" t="s">
        <v>413</v>
      </c>
      <c r="B145" s="8" t="s">
        <v>465</v>
      </c>
      <c r="H145" s="8"/>
      <c r="L145" s="1"/>
      <c r="O145"/>
      <c r="U145" s="9"/>
      <c r="V145" s="9"/>
      <c r="W145" s="7" t="s">
        <v>502</v>
      </c>
      <c r="X145" s="66">
        <v>799193.38</v>
      </c>
      <c r="Y145" s="84"/>
    </row>
    <row r="146" spans="1:25" s="7" customFormat="1" ht="28.8" x14ac:dyDescent="0.3">
      <c r="A146" s="7" t="s">
        <v>413</v>
      </c>
      <c r="B146" s="8" t="s">
        <v>465</v>
      </c>
      <c r="H146" s="8"/>
      <c r="L146" s="1"/>
      <c r="O146"/>
      <c r="U146" s="9"/>
      <c r="V146" s="9"/>
      <c r="W146" s="7" t="s">
        <v>503</v>
      </c>
      <c r="X146" s="66">
        <v>220278.2</v>
      </c>
      <c r="Y146" s="84"/>
    </row>
    <row r="147" spans="1:25" s="7" customFormat="1" ht="28.8" x14ac:dyDescent="0.3">
      <c r="A147" s="7" t="s">
        <v>413</v>
      </c>
      <c r="B147" s="8" t="s">
        <v>465</v>
      </c>
      <c r="H147" s="8"/>
      <c r="L147" s="1"/>
      <c r="O147"/>
      <c r="U147" s="9"/>
      <c r="V147" s="9"/>
      <c r="W147" s="7" t="s">
        <v>504</v>
      </c>
      <c r="X147" s="66">
        <v>1469733.87</v>
      </c>
      <c r="Y147" s="84"/>
    </row>
    <row r="148" spans="1:25" s="7" customFormat="1" ht="28.8" x14ac:dyDescent="0.3">
      <c r="A148" s="7" t="s">
        <v>413</v>
      </c>
      <c r="B148" s="8" t="s">
        <v>465</v>
      </c>
      <c r="C148" s="68"/>
      <c r="D148" s="68"/>
      <c r="E148" s="68"/>
      <c r="F148" s="68"/>
      <c r="G148" s="68"/>
      <c r="H148" s="69"/>
      <c r="I148" s="68"/>
      <c r="J148" s="68"/>
      <c r="K148" s="68"/>
      <c r="L148" s="70"/>
      <c r="M148" s="68"/>
      <c r="N148" s="68"/>
      <c r="O148" s="64"/>
      <c r="P148" s="68"/>
      <c r="Q148" s="68"/>
      <c r="R148" s="68"/>
      <c r="S148" s="68"/>
      <c r="T148" s="68"/>
      <c r="U148" s="71"/>
      <c r="V148" s="71"/>
      <c r="W148" s="68" t="s">
        <v>470</v>
      </c>
      <c r="X148" s="72">
        <f>SUM(X136:X138)</f>
        <v>318748.42</v>
      </c>
      <c r="Y148" s="84"/>
    </row>
    <row r="149" spans="1:25" s="7" customFormat="1" ht="28.8" x14ac:dyDescent="0.3">
      <c r="A149" s="7" t="s">
        <v>413</v>
      </c>
      <c r="B149" s="8" t="s">
        <v>465</v>
      </c>
      <c r="C149" s="68"/>
      <c r="D149" s="68"/>
      <c r="E149" s="68"/>
      <c r="F149" s="68"/>
      <c r="G149" s="68"/>
      <c r="H149" s="69"/>
      <c r="I149" s="68"/>
      <c r="J149" s="68"/>
      <c r="K149" s="68"/>
      <c r="L149" s="70"/>
      <c r="M149" s="68"/>
      <c r="N149" s="68"/>
      <c r="O149" s="64"/>
      <c r="P149" s="68"/>
      <c r="Q149" s="68"/>
      <c r="R149" s="68"/>
      <c r="S149" s="68"/>
      <c r="T149" s="68"/>
      <c r="U149" s="71"/>
      <c r="V149" s="71"/>
      <c r="W149" s="68" t="s">
        <v>471</v>
      </c>
      <c r="X149" s="72">
        <f>SUM(X139:X141)</f>
        <v>793506.61999999988</v>
      </c>
      <c r="Y149" s="84"/>
    </row>
    <row r="150" spans="1:25" s="7" customFormat="1" ht="28.8" x14ac:dyDescent="0.3">
      <c r="A150" s="7" t="s">
        <v>413</v>
      </c>
      <c r="B150" s="8" t="s">
        <v>465</v>
      </c>
      <c r="C150" s="68"/>
      <c r="D150" s="68"/>
      <c r="E150" s="68"/>
      <c r="F150" s="68"/>
      <c r="G150" s="68"/>
      <c r="H150" s="69"/>
      <c r="I150" s="68"/>
      <c r="J150" s="68"/>
      <c r="K150" s="68"/>
      <c r="L150" s="70"/>
      <c r="M150" s="68"/>
      <c r="N150" s="68"/>
      <c r="O150" s="64"/>
      <c r="P150" s="68"/>
      <c r="Q150" s="68"/>
      <c r="R150" s="68"/>
      <c r="S150" s="68"/>
      <c r="T150" s="68"/>
      <c r="U150" s="71"/>
      <c r="V150" s="71"/>
      <c r="W150" s="68" t="s">
        <v>472</v>
      </c>
      <c r="X150" s="72">
        <f>SUM(X142:X144)</f>
        <v>548777.44999999995</v>
      </c>
      <c r="Y150" s="84"/>
    </row>
    <row r="151" spans="1:25" s="7" customFormat="1" ht="28.8" x14ac:dyDescent="0.3">
      <c r="A151" s="7" t="s">
        <v>413</v>
      </c>
      <c r="B151" s="8" t="s">
        <v>465</v>
      </c>
      <c r="H151" s="8"/>
      <c r="L151" s="1"/>
      <c r="O151"/>
      <c r="U151" s="9"/>
      <c r="V151" s="9"/>
      <c r="W151" s="7" t="s">
        <v>474</v>
      </c>
      <c r="X151" s="7">
        <v>16978091.530000001</v>
      </c>
      <c r="Y151" s="84"/>
    </row>
    <row r="152" spans="1:25" s="7" customFormat="1" ht="28.8" x14ac:dyDescent="0.3">
      <c r="A152" s="7" t="s">
        <v>413</v>
      </c>
      <c r="B152" s="8" t="s">
        <v>465</v>
      </c>
      <c r="H152" s="8"/>
      <c r="L152" s="1"/>
      <c r="O152"/>
      <c r="U152" s="9"/>
      <c r="V152" s="9"/>
      <c r="W152" s="7" t="s">
        <v>475</v>
      </c>
      <c r="X152" s="7">
        <v>2505779.77</v>
      </c>
      <c r="Y152" s="84"/>
    </row>
    <row r="153" spans="1:25" s="7" customFormat="1" ht="28.8" x14ac:dyDescent="0.3">
      <c r="A153" s="7" t="s">
        <v>413</v>
      </c>
      <c r="B153" s="8" t="s">
        <v>465</v>
      </c>
      <c r="C153" s="68"/>
      <c r="D153" s="68"/>
      <c r="E153" s="68"/>
      <c r="F153" s="68"/>
      <c r="G153" s="68"/>
      <c r="H153" s="69"/>
      <c r="I153" s="68"/>
      <c r="J153" s="68"/>
      <c r="K153" s="68"/>
      <c r="L153" s="70"/>
      <c r="M153" s="68"/>
      <c r="N153" s="68"/>
      <c r="O153" s="64"/>
      <c r="P153" s="68"/>
      <c r="Q153" s="68"/>
      <c r="R153" s="68"/>
      <c r="S153" s="68"/>
      <c r="T153" s="68"/>
      <c r="U153" s="71"/>
      <c r="V153" s="71"/>
      <c r="W153" s="68" t="s">
        <v>476</v>
      </c>
      <c r="X153" s="68">
        <f>SUM(X151:X152)</f>
        <v>19483871.300000001</v>
      </c>
      <c r="Y153" s="84"/>
    </row>
    <row r="154" spans="1:25" s="7" customFormat="1" ht="28.8" x14ac:dyDescent="0.3">
      <c r="A154" s="7" t="s">
        <v>413</v>
      </c>
      <c r="B154" s="8" t="s">
        <v>465</v>
      </c>
      <c r="H154" s="8"/>
      <c r="L154" s="1"/>
      <c r="O154"/>
      <c r="U154" s="9"/>
      <c r="V154" s="9"/>
      <c r="W154" s="7" t="s">
        <v>477</v>
      </c>
      <c r="X154" s="66">
        <v>5434305.9199999999</v>
      </c>
      <c r="Y154" s="84"/>
    </row>
    <row r="155" spans="1:25" s="7" customFormat="1" ht="28.8" x14ac:dyDescent="0.3">
      <c r="A155" s="7" t="s">
        <v>413</v>
      </c>
      <c r="B155" s="8" t="s">
        <v>465</v>
      </c>
      <c r="H155" s="8"/>
      <c r="L155" s="1"/>
      <c r="O155"/>
      <c r="U155" s="9"/>
      <c r="V155" s="9"/>
      <c r="W155" s="7" t="s">
        <v>478</v>
      </c>
      <c r="X155" s="66">
        <v>1145738.54</v>
      </c>
      <c r="Y155" s="84"/>
    </row>
    <row r="156" spans="1:25" s="7" customFormat="1" ht="28.8" x14ac:dyDescent="0.3">
      <c r="A156" s="7" t="s">
        <v>413</v>
      </c>
      <c r="B156" s="8" t="s">
        <v>465</v>
      </c>
      <c r="C156" s="68"/>
      <c r="D156" s="68"/>
      <c r="E156" s="68"/>
      <c r="F156" s="68"/>
      <c r="G156" s="68"/>
      <c r="H156" s="69"/>
      <c r="I156" s="68"/>
      <c r="J156" s="68"/>
      <c r="K156" s="68"/>
      <c r="L156" s="70"/>
      <c r="M156" s="68"/>
      <c r="N156" s="68"/>
      <c r="O156" s="64"/>
      <c r="P156" s="68"/>
      <c r="Q156" s="68"/>
      <c r="R156" s="68"/>
      <c r="S156" s="68"/>
      <c r="T156" s="68"/>
      <c r="U156" s="71"/>
      <c r="V156" s="71"/>
      <c r="W156" s="68" t="s">
        <v>479</v>
      </c>
      <c r="X156" s="72">
        <f>X154+X155</f>
        <v>6580044.46</v>
      </c>
      <c r="Y156" s="84"/>
    </row>
    <row r="157" spans="1:25" s="7" customFormat="1" ht="28.8" x14ac:dyDescent="0.3">
      <c r="A157" s="7" t="s">
        <v>413</v>
      </c>
      <c r="B157" s="8" t="s">
        <v>465</v>
      </c>
      <c r="H157" s="8"/>
      <c r="L157" s="1"/>
      <c r="O157"/>
      <c r="U157" s="9"/>
      <c r="V157" s="9"/>
      <c r="W157" s="7" t="s">
        <v>505</v>
      </c>
      <c r="X157" s="66">
        <v>13438942.539999999</v>
      </c>
      <c r="Y157" s="84"/>
    </row>
    <row r="158" spans="1:25" s="7" customFormat="1" ht="28.8" x14ac:dyDescent="0.3">
      <c r="A158" s="7" t="s">
        <v>413</v>
      </c>
      <c r="B158" s="8" t="s">
        <v>465</v>
      </c>
      <c r="H158" s="8"/>
      <c r="L158" s="1"/>
      <c r="O158"/>
      <c r="U158" s="9"/>
      <c r="V158" s="9"/>
      <c r="W158" s="7" t="s">
        <v>506</v>
      </c>
      <c r="X158" s="66">
        <v>2502540.0499999998</v>
      </c>
      <c r="Y158" s="84"/>
    </row>
    <row r="159" spans="1:25" s="7" customFormat="1" ht="28.8" x14ac:dyDescent="0.3">
      <c r="A159" s="7" t="s">
        <v>413</v>
      </c>
      <c r="B159" s="8" t="s">
        <v>465</v>
      </c>
      <c r="H159" s="8"/>
      <c r="L159" s="1"/>
      <c r="O159"/>
      <c r="U159" s="9"/>
      <c r="V159" s="9"/>
      <c r="W159" s="7" t="s">
        <v>480</v>
      </c>
      <c r="X159" s="66">
        <v>39477.769999999997</v>
      </c>
      <c r="Y159" s="84"/>
    </row>
    <row r="160" spans="1:25" s="7" customFormat="1" ht="28.8" x14ac:dyDescent="0.3">
      <c r="A160" s="7" t="s">
        <v>413</v>
      </c>
      <c r="B160" s="8" t="s">
        <v>465</v>
      </c>
      <c r="H160" s="8"/>
      <c r="L160" s="1"/>
      <c r="O160"/>
      <c r="U160" s="9"/>
      <c r="V160" s="9"/>
      <c r="W160" s="7" t="s">
        <v>481</v>
      </c>
      <c r="X160" s="66">
        <v>130007.38</v>
      </c>
      <c r="Y160" s="84"/>
    </row>
    <row r="161" spans="1:25" s="7" customFormat="1" ht="28.8" x14ac:dyDescent="0.3">
      <c r="A161" s="7" t="s">
        <v>413</v>
      </c>
      <c r="B161" s="8" t="s">
        <v>465</v>
      </c>
      <c r="C161" s="68"/>
      <c r="D161" s="68"/>
      <c r="E161" s="68"/>
      <c r="F161" s="68"/>
      <c r="G161" s="68"/>
      <c r="H161" s="69"/>
      <c r="I161" s="68"/>
      <c r="J161" s="68"/>
      <c r="K161" s="68"/>
      <c r="L161" s="70"/>
      <c r="M161" s="68"/>
      <c r="N161" s="68"/>
      <c r="O161" s="64"/>
      <c r="P161" s="68"/>
      <c r="Q161" s="68"/>
      <c r="R161" s="68"/>
      <c r="S161" s="68"/>
      <c r="T161" s="68"/>
      <c r="U161" s="71"/>
      <c r="V161" s="71"/>
      <c r="W161" s="68" t="s">
        <v>482</v>
      </c>
      <c r="X161" s="72">
        <f>SUM(X159:X160)</f>
        <v>169485.15</v>
      </c>
      <c r="Y161" s="84"/>
    </row>
    <row r="162" spans="1:25" s="7" customFormat="1" ht="28.8" x14ac:dyDescent="0.3">
      <c r="A162" s="7" t="s">
        <v>413</v>
      </c>
      <c r="B162" s="8" t="s">
        <v>465</v>
      </c>
      <c r="H162" s="8"/>
      <c r="L162" s="1"/>
      <c r="O162"/>
      <c r="U162" s="9"/>
      <c r="V162" s="9"/>
      <c r="W162" s="7" t="s">
        <v>554</v>
      </c>
      <c r="X162" s="66">
        <v>40412.74</v>
      </c>
      <c r="Y162" s="84"/>
    </row>
    <row r="163" spans="1:25" s="7" customFormat="1" ht="28.8" x14ac:dyDescent="0.3">
      <c r="A163" s="7" t="s">
        <v>413</v>
      </c>
      <c r="B163" s="8" t="s">
        <v>465</v>
      </c>
      <c r="C163" s="68"/>
      <c r="D163" s="68"/>
      <c r="E163" s="68"/>
      <c r="F163" s="68"/>
      <c r="G163" s="68"/>
      <c r="H163" s="69"/>
      <c r="I163" s="68"/>
      <c r="J163" s="68"/>
      <c r="K163" s="68"/>
      <c r="L163" s="70"/>
      <c r="M163" s="68"/>
      <c r="N163" s="68"/>
      <c r="O163" s="64"/>
      <c r="P163" s="68"/>
      <c r="Q163" s="68"/>
      <c r="R163" s="68"/>
      <c r="S163" s="68"/>
      <c r="T163" s="68"/>
      <c r="U163" s="71"/>
      <c r="V163" s="71"/>
      <c r="W163" s="68" t="s">
        <v>489</v>
      </c>
      <c r="X163" s="72">
        <f>(X136/$X$145)*100</f>
        <v>10.580859666280018</v>
      </c>
      <c r="Y163" s="84"/>
    </row>
    <row r="164" spans="1:25" s="7" customFormat="1" ht="28.8" x14ac:dyDescent="0.3">
      <c r="A164" s="7" t="s">
        <v>413</v>
      </c>
      <c r="B164" s="8" t="s">
        <v>465</v>
      </c>
      <c r="C164" s="68"/>
      <c r="D164" s="68"/>
      <c r="E164" s="68"/>
      <c r="F164" s="68"/>
      <c r="G164" s="68"/>
      <c r="H164" s="69"/>
      <c r="I164" s="68"/>
      <c r="J164" s="68"/>
      <c r="K164" s="68"/>
      <c r="L164" s="70"/>
      <c r="M164" s="68"/>
      <c r="N164" s="68"/>
      <c r="O164" s="64"/>
      <c r="P164" s="68"/>
      <c r="Q164" s="68"/>
      <c r="R164" s="68"/>
      <c r="S164" s="68"/>
      <c r="T164" s="68"/>
      <c r="U164" s="71"/>
      <c r="V164" s="71"/>
      <c r="W164" s="68" t="s">
        <v>490</v>
      </c>
      <c r="X164" s="72">
        <f>(X137/$X$146)*100</f>
        <v>15.933356092432206</v>
      </c>
      <c r="Y164" s="84"/>
    </row>
    <row r="165" spans="1:25" s="7" customFormat="1" ht="28.8" x14ac:dyDescent="0.3">
      <c r="A165" s="7" t="s">
        <v>413</v>
      </c>
      <c r="B165" s="8" t="s">
        <v>465</v>
      </c>
      <c r="C165" s="68"/>
      <c r="D165" s="68"/>
      <c r="E165" s="68"/>
      <c r="F165" s="68"/>
      <c r="G165" s="68"/>
      <c r="H165" s="69"/>
      <c r="I165" s="68"/>
      <c r="J165" s="68"/>
      <c r="K165" s="68"/>
      <c r="L165" s="70"/>
      <c r="M165" s="68"/>
      <c r="N165" s="68"/>
      <c r="O165" s="64"/>
      <c r="P165" s="68"/>
      <c r="Q165" s="68"/>
      <c r="R165" s="68"/>
      <c r="S165" s="68"/>
      <c r="T165" s="68"/>
      <c r="U165" s="71"/>
      <c r="V165" s="71"/>
      <c r="W165" s="68" t="s">
        <v>491</v>
      </c>
      <c r="X165" s="72">
        <f>(X138/$X$147)*100</f>
        <v>13.545933999602253</v>
      </c>
      <c r="Y165" s="84"/>
    </row>
    <row r="166" spans="1:25" s="7" customFormat="1" ht="28.8" x14ac:dyDescent="0.3">
      <c r="A166" s="7" t="s">
        <v>413</v>
      </c>
      <c r="B166" s="8" t="s">
        <v>465</v>
      </c>
      <c r="C166" s="68"/>
      <c r="D166" s="68"/>
      <c r="E166" s="68"/>
      <c r="F166" s="68"/>
      <c r="G166" s="68"/>
      <c r="H166" s="69"/>
      <c r="I166" s="68"/>
      <c r="J166" s="68"/>
      <c r="K166" s="68"/>
      <c r="L166" s="70"/>
      <c r="M166" s="68"/>
      <c r="N166" s="68"/>
      <c r="O166" s="64"/>
      <c r="P166" s="68"/>
      <c r="Q166" s="68"/>
      <c r="R166" s="68"/>
      <c r="S166" s="68"/>
      <c r="T166" s="68"/>
      <c r="U166" s="71"/>
      <c r="V166" s="71"/>
      <c r="W166" s="68" t="s">
        <v>492</v>
      </c>
      <c r="X166" s="72">
        <f>(X139/$X$145)*100</f>
        <v>36.135423193820749</v>
      </c>
      <c r="Y166" s="84"/>
    </row>
    <row r="167" spans="1:25" s="7" customFormat="1" ht="28.8" x14ac:dyDescent="0.3">
      <c r="A167" s="7" t="s">
        <v>413</v>
      </c>
      <c r="B167" s="8" t="s">
        <v>465</v>
      </c>
      <c r="C167" s="68"/>
      <c r="D167" s="68"/>
      <c r="E167" s="68"/>
      <c r="F167" s="68"/>
      <c r="G167" s="68"/>
      <c r="H167" s="69"/>
      <c r="I167" s="68"/>
      <c r="J167" s="68"/>
      <c r="K167" s="68"/>
      <c r="L167" s="70"/>
      <c r="M167" s="68"/>
      <c r="N167" s="68"/>
      <c r="O167" s="64"/>
      <c r="P167" s="68"/>
      <c r="Q167" s="68"/>
      <c r="R167" s="68"/>
      <c r="S167" s="68"/>
      <c r="T167" s="68"/>
      <c r="U167" s="71"/>
      <c r="V167" s="71"/>
      <c r="W167" s="68" t="s">
        <v>493</v>
      </c>
      <c r="X167" s="72">
        <f>(X140/$X$146)*100</f>
        <v>49.002534068282735</v>
      </c>
      <c r="Y167" s="84"/>
    </row>
    <row r="168" spans="1:25" s="7" customFormat="1" ht="28.8" x14ac:dyDescent="0.3">
      <c r="A168" s="7" t="s">
        <v>413</v>
      </c>
      <c r="B168" s="8" t="s">
        <v>465</v>
      </c>
      <c r="C168" s="68"/>
      <c r="D168" s="68"/>
      <c r="E168" s="68"/>
      <c r="F168" s="68"/>
      <c r="G168" s="68"/>
      <c r="H168" s="69"/>
      <c r="I168" s="68"/>
      <c r="J168" s="68"/>
      <c r="K168" s="68"/>
      <c r="L168" s="70"/>
      <c r="M168" s="68"/>
      <c r="N168" s="68"/>
      <c r="O168" s="64"/>
      <c r="P168" s="68"/>
      <c r="Q168" s="68"/>
      <c r="R168" s="68"/>
      <c r="S168" s="68"/>
      <c r="T168" s="68"/>
      <c r="U168" s="71"/>
      <c r="V168" s="71"/>
      <c r="W168" s="68" t="s">
        <v>494</v>
      </c>
      <c r="X168" s="72">
        <f>(X141/$X$147)*100</f>
        <v>26.996235039476908</v>
      </c>
      <c r="Y168" s="84"/>
    </row>
    <row r="169" spans="1:25" s="7" customFormat="1" ht="28.8" x14ac:dyDescent="0.3">
      <c r="A169" s="7" t="s">
        <v>413</v>
      </c>
      <c r="B169" s="8" t="s">
        <v>465</v>
      </c>
      <c r="C169" s="68"/>
      <c r="D169" s="68"/>
      <c r="E169" s="68"/>
      <c r="F169" s="68"/>
      <c r="G169" s="68"/>
      <c r="H169" s="69"/>
      <c r="I169" s="68"/>
      <c r="J169" s="68"/>
      <c r="K169" s="68"/>
      <c r="L169" s="70"/>
      <c r="M169" s="68"/>
      <c r="N169" s="68"/>
      <c r="O169" s="64"/>
      <c r="P169" s="68"/>
      <c r="Q169" s="68"/>
      <c r="R169" s="68"/>
      <c r="S169" s="68"/>
      <c r="T169" s="68"/>
      <c r="U169" s="71"/>
      <c r="V169" s="71"/>
      <c r="W169" s="68" t="s">
        <v>495</v>
      </c>
      <c r="X169" s="72">
        <f>(X142/$X$145)*100</f>
        <v>19.951434032148764</v>
      </c>
      <c r="Y169" s="84"/>
    </row>
    <row r="170" spans="1:25" s="7" customFormat="1" ht="28.8" x14ac:dyDescent="0.3">
      <c r="A170" s="7" t="s">
        <v>413</v>
      </c>
      <c r="B170" s="8" t="s">
        <v>465</v>
      </c>
      <c r="C170" s="68"/>
      <c r="D170" s="68"/>
      <c r="E170" s="68"/>
      <c r="F170" s="68"/>
      <c r="G170" s="68"/>
      <c r="H170" s="69"/>
      <c r="I170" s="68"/>
      <c r="J170" s="68"/>
      <c r="K170" s="68"/>
      <c r="L170" s="70"/>
      <c r="M170" s="68"/>
      <c r="N170" s="68"/>
      <c r="O170" s="64"/>
      <c r="P170" s="68"/>
      <c r="Q170" s="68"/>
      <c r="R170" s="68"/>
      <c r="S170" s="68"/>
      <c r="T170" s="68"/>
      <c r="U170" s="71"/>
      <c r="V170" s="71"/>
      <c r="W170" s="68" t="s">
        <v>496</v>
      </c>
      <c r="X170" s="72">
        <f>(X143/$X$146)*100</f>
        <v>12.017044809699733</v>
      </c>
      <c r="Y170" s="84"/>
    </row>
    <row r="171" spans="1:25" s="7" customFormat="1" ht="28.8" x14ac:dyDescent="0.3">
      <c r="A171" s="7" t="s">
        <v>413</v>
      </c>
      <c r="B171" s="8" t="s">
        <v>465</v>
      </c>
      <c r="C171" s="68"/>
      <c r="D171" s="68"/>
      <c r="E171" s="68"/>
      <c r="F171" s="68"/>
      <c r="G171" s="68"/>
      <c r="H171" s="69"/>
      <c r="I171" s="68"/>
      <c r="J171" s="68"/>
      <c r="K171" s="68"/>
      <c r="L171" s="70"/>
      <c r="M171" s="68"/>
      <c r="N171" s="68"/>
      <c r="O171" s="64"/>
      <c r="P171" s="68"/>
      <c r="Q171" s="68"/>
      <c r="R171" s="68"/>
      <c r="S171" s="68"/>
      <c r="T171" s="68"/>
      <c r="U171" s="71"/>
      <c r="V171" s="71"/>
      <c r="W171" s="68" t="s">
        <v>497</v>
      </c>
      <c r="X171" s="72">
        <f>(X144/$X$147)*100</f>
        <v>24.688549907337983</v>
      </c>
      <c r="Y171" s="84"/>
    </row>
    <row r="172" spans="1:25" s="7" customFormat="1" ht="28.8" x14ac:dyDescent="0.3">
      <c r="A172" s="7" t="s">
        <v>413</v>
      </c>
      <c r="B172" s="8" t="s">
        <v>465</v>
      </c>
      <c r="C172" s="68"/>
      <c r="D172" s="68"/>
      <c r="E172" s="68"/>
      <c r="F172" s="68"/>
      <c r="G172" s="68"/>
      <c r="H172" s="69"/>
      <c r="I172" s="68"/>
      <c r="J172" s="68"/>
      <c r="K172" s="68"/>
      <c r="L172" s="70"/>
      <c r="M172" s="68"/>
      <c r="N172" s="68"/>
      <c r="O172" s="64"/>
      <c r="P172" s="68"/>
      <c r="Q172" s="68"/>
      <c r="R172" s="68"/>
      <c r="S172" s="68"/>
      <c r="T172" s="68"/>
      <c r="U172" s="71"/>
      <c r="V172" s="71"/>
      <c r="W172" s="68" t="s">
        <v>498</v>
      </c>
      <c r="X172" s="72">
        <f>(X148/($X$145+$X$146+$X$147))*100</f>
        <v>12.805227467262695</v>
      </c>
      <c r="Y172" s="84"/>
    </row>
    <row r="173" spans="1:25" s="7" customFormat="1" ht="28.8" x14ac:dyDescent="0.3">
      <c r="A173" s="7" t="s">
        <v>413</v>
      </c>
      <c r="B173" s="8" t="s">
        <v>465</v>
      </c>
      <c r="C173" s="68"/>
      <c r="D173" s="68"/>
      <c r="E173" s="68"/>
      <c r="F173" s="68"/>
      <c r="G173" s="68"/>
      <c r="H173" s="69"/>
      <c r="I173" s="68"/>
      <c r="J173" s="68"/>
      <c r="K173" s="68"/>
      <c r="L173" s="70"/>
      <c r="M173" s="68"/>
      <c r="N173" s="68"/>
      <c r="O173" s="64"/>
      <c r="P173" s="68"/>
      <c r="Q173" s="68"/>
      <c r="R173" s="68"/>
      <c r="S173" s="68"/>
      <c r="T173" s="68"/>
      <c r="U173" s="71"/>
      <c r="V173" s="71"/>
      <c r="W173" s="68" t="s">
        <v>499</v>
      </c>
      <c r="X173" s="72">
        <f>(X149/($X$145+$X$146+$X$147))*100</f>
        <v>31.877907868151254</v>
      </c>
      <c r="Y173" s="84"/>
    </row>
    <row r="174" spans="1:25" s="7" customFormat="1" ht="28.8" x14ac:dyDescent="0.3">
      <c r="A174" s="7" t="s">
        <v>413</v>
      </c>
      <c r="B174" s="8" t="s">
        <v>465</v>
      </c>
      <c r="C174" s="68"/>
      <c r="D174" s="68"/>
      <c r="E174" s="68"/>
      <c r="F174" s="68"/>
      <c r="G174" s="68"/>
      <c r="H174" s="69"/>
      <c r="I174" s="68"/>
      <c r="J174" s="68"/>
      <c r="K174" s="68"/>
      <c r="L174" s="70"/>
      <c r="M174" s="68"/>
      <c r="N174" s="68"/>
      <c r="O174" s="64"/>
      <c r="P174" s="68"/>
      <c r="Q174" s="68"/>
      <c r="R174" s="68"/>
      <c r="S174" s="68"/>
      <c r="T174" s="68"/>
      <c r="U174" s="71"/>
      <c r="V174" s="71"/>
      <c r="W174" s="68" t="s">
        <v>500</v>
      </c>
      <c r="X174" s="72">
        <f>(X150/($X$145+$X$146+$X$147))*100</f>
        <v>22.046289911505696</v>
      </c>
      <c r="Y174" s="84"/>
    </row>
    <row r="175" spans="1:25" s="7" customFormat="1" ht="28.8" x14ac:dyDescent="0.3">
      <c r="A175" s="7" t="s">
        <v>413</v>
      </c>
      <c r="B175" s="8" t="s">
        <v>465</v>
      </c>
      <c r="C175" s="68"/>
      <c r="D175" s="68"/>
      <c r="E175" s="68"/>
      <c r="F175" s="68"/>
      <c r="G175" s="68"/>
      <c r="H175" s="69"/>
      <c r="I175" s="68"/>
      <c r="J175" s="68"/>
      <c r="K175" s="68"/>
      <c r="L175" s="70"/>
      <c r="M175" s="68"/>
      <c r="N175" s="68"/>
      <c r="O175" s="64"/>
      <c r="P175" s="68"/>
      <c r="Q175" s="68"/>
      <c r="R175" s="68"/>
      <c r="S175" s="68"/>
      <c r="T175" s="68"/>
      <c r="U175" s="71"/>
      <c r="V175" s="71"/>
      <c r="W175" s="88" t="s">
        <v>501</v>
      </c>
      <c r="X175" s="86">
        <f>((X148+X149+X150)/(X145+X146+X147))*100</f>
        <v>66.729425246919632</v>
      </c>
      <c r="Y175" s="84"/>
    </row>
    <row r="176" spans="1:25" s="7" customFormat="1" ht="28.8" x14ac:dyDescent="0.3">
      <c r="A176" s="7" t="s">
        <v>413</v>
      </c>
      <c r="B176" s="8" t="s">
        <v>465</v>
      </c>
      <c r="C176" s="68"/>
      <c r="D176" s="68"/>
      <c r="E176" s="68"/>
      <c r="F176" s="68"/>
      <c r="G176" s="68"/>
      <c r="H176" s="69"/>
      <c r="I176" s="68"/>
      <c r="J176" s="68"/>
      <c r="K176" s="68"/>
      <c r="L176" s="70"/>
      <c r="M176" s="68"/>
      <c r="N176" s="68"/>
      <c r="O176" s="64"/>
      <c r="P176" s="68"/>
      <c r="Q176" s="68"/>
      <c r="R176" s="68"/>
      <c r="S176" s="68"/>
      <c r="T176" s="68"/>
      <c r="U176" s="71"/>
      <c r="V176" s="71"/>
      <c r="W176" s="68" t="s">
        <v>507</v>
      </c>
      <c r="X176" s="72">
        <f>(X154/X157)*100</f>
        <v>40.4370053955153</v>
      </c>
      <c r="Y176" s="84"/>
    </row>
    <row r="177" spans="1:25" s="7" customFormat="1" ht="28.8" x14ac:dyDescent="0.3">
      <c r="A177" s="7" t="s">
        <v>413</v>
      </c>
      <c r="B177" s="8" t="s">
        <v>465</v>
      </c>
      <c r="C177" s="68"/>
      <c r="D177" s="68"/>
      <c r="E177" s="68"/>
      <c r="F177" s="68"/>
      <c r="G177" s="68"/>
      <c r="H177" s="69"/>
      <c r="I177" s="68"/>
      <c r="J177" s="68"/>
      <c r="K177" s="68"/>
      <c r="L177" s="70"/>
      <c r="M177" s="68"/>
      <c r="N177" s="68"/>
      <c r="O177" s="64"/>
      <c r="P177" s="68"/>
      <c r="Q177" s="68"/>
      <c r="R177" s="68"/>
      <c r="S177" s="68"/>
      <c r="T177" s="68"/>
      <c r="U177" s="71"/>
      <c r="V177" s="71"/>
      <c r="W177" s="68" t="s">
        <v>508</v>
      </c>
      <c r="X177" s="72">
        <f>(X155/X158)*100</f>
        <v>45.783025130806607</v>
      </c>
      <c r="Y177" s="84"/>
    </row>
    <row r="178" spans="1:25" s="7" customFormat="1" ht="28.8" x14ac:dyDescent="0.3">
      <c r="A178" s="7" t="s">
        <v>413</v>
      </c>
      <c r="B178" s="8" t="s">
        <v>465</v>
      </c>
      <c r="C178" s="68"/>
      <c r="D178" s="68"/>
      <c r="E178" s="68"/>
      <c r="F178" s="68"/>
      <c r="G178" s="68"/>
      <c r="H178" s="69"/>
      <c r="I178" s="68"/>
      <c r="J178" s="68"/>
      <c r="K178" s="68"/>
      <c r="L178" s="70"/>
      <c r="M178" s="68"/>
      <c r="N178" s="68"/>
      <c r="O178" s="64"/>
      <c r="P178" s="68"/>
      <c r="Q178" s="68"/>
      <c r="R178" s="68"/>
      <c r="S178" s="68"/>
      <c r="T178" s="68"/>
      <c r="U178" s="71"/>
      <c r="V178" s="71"/>
      <c r="W178" s="88" t="s">
        <v>509</v>
      </c>
      <c r="X178" s="86">
        <f>((X154+X155)/(X157+X158))*100</f>
        <v>41.276239037689152</v>
      </c>
      <c r="Y178" s="84"/>
    </row>
    <row r="179" spans="1:25" s="7" customFormat="1" ht="28.8" x14ac:dyDescent="0.3">
      <c r="A179" s="7" t="s">
        <v>413</v>
      </c>
      <c r="B179" s="8" t="s">
        <v>465</v>
      </c>
      <c r="C179" s="68"/>
      <c r="D179" s="68"/>
      <c r="E179" s="68"/>
      <c r="F179" s="68"/>
      <c r="G179" s="68"/>
      <c r="H179" s="69"/>
      <c r="I179" s="68"/>
      <c r="J179" s="68"/>
      <c r="K179" s="68"/>
      <c r="L179" s="70"/>
      <c r="M179" s="68"/>
      <c r="N179" s="68"/>
      <c r="O179" s="64"/>
      <c r="P179" s="68"/>
      <c r="Q179" s="68"/>
      <c r="R179" s="68"/>
      <c r="S179" s="68"/>
      <c r="T179" s="68"/>
      <c r="U179" s="71"/>
      <c r="V179" s="71"/>
      <c r="W179" s="88" t="s">
        <v>510</v>
      </c>
      <c r="X179" s="86">
        <f>(X162/X161)*100</f>
        <v>23.844413507614089</v>
      </c>
      <c r="Y179" s="84"/>
    </row>
    <row r="180" spans="1:25" s="7" customFormat="1" ht="28.8" x14ac:dyDescent="0.3">
      <c r="A180" s="7" t="s">
        <v>413</v>
      </c>
      <c r="B180" s="8" t="s">
        <v>513</v>
      </c>
      <c r="H180" s="8"/>
      <c r="L180" s="1"/>
      <c r="O180"/>
      <c r="U180" s="9"/>
      <c r="V180" s="9"/>
      <c r="W180" s="7" t="s">
        <v>514</v>
      </c>
      <c r="X180" s="66">
        <v>871251.54</v>
      </c>
      <c r="Y180" s="84"/>
    </row>
    <row r="181" spans="1:25" s="7" customFormat="1" ht="28.8" x14ac:dyDescent="0.3">
      <c r="A181" s="7" t="s">
        <v>413</v>
      </c>
      <c r="B181" s="8" t="s">
        <v>513</v>
      </c>
      <c r="H181" s="8"/>
      <c r="L181" s="1"/>
      <c r="O181"/>
      <c r="U181" s="9"/>
      <c r="V181" s="9"/>
      <c r="W181" s="7" t="s">
        <v>518</v>
      </c>
      <c r="X181" s="66">
        <v>235004.15</v>
      </c>
      <c r="Y181" s="84"/>
    </row>
    <row r="182" spans="1:25" s="7" customFormat="1" ht="28.8" x14ac:dyDescent="0.3">
      <c r="A182" s="7" t="s">
        <v>413</v>
      </c>
      <c r="B182" s="8" t="s">
        <v>513</v>
      </c>
      <c r="H182" s="8"/>
      <c r="L182" s="1"/>
      <c r="O182"/>
      <c r="U182" s="9"/>
      <c r="V182" s="9"/>
      <c r="W182" s="7" t="s">
        <v>519</v>
      </c>
      <c r="X182" s="66">
        <v>1750899.24</v>
      </c>
      <c r="Y182" s="84"/>
    </row>
    <row r="183" spans="1:25" s="7" customFormat="1" ht="28.8" x14ac:dyDescent="0.3">
      <c r="A183" s="7" t="s">
        <v>413</v>
      </c>
      <c r="B183" s="8" t="s">
        <v>513</v>
      </c>
      <c r="H183" s="8"/>
      <c r="L183" s="1"/>
      <c r="O183"/>
      <c r="U183" s="9"/>
      <c r="V183" s="9"/>
      <c r="W183" s="68" t="s">
        <v>515</v>
      </c>
      <c r="X183" s="72">
        <f>SUM(X180:X182)</f>
        <v>2857154.9299999997</v>
      </c>
      <c r="Y183" s="84"/>
    </row>
    <row r="184" spans="1:25" s="7" customFormat="1" ht="28.8" x14ac:dyDescent="0.3">
      <c r="A184" s="7" t="s">
        <v>413</v>
      </c>
      <c r="B184" s="8" t="s">
        <v>513</v>
      </c>
      <c r="H184" s="8"/>
      <c r="L184" s="1"/>
      <c r="O184"/>
      <c r="U184" s="9"/>
      <c r="V184" s="9"/>
      <c r="W184" s="7" t="s">
        <v>520</v>
      </c>
      <c r="X184" s="66">
        <v>285468.71000000002</v>
      </c>
      <c r="Y184" s="84"/>
    </row>
    <row r="185" spans="1:25" s="7" customFormat="1" ht="28.8" x14ac:dyDescent="0.3">
      <c r="A185" s="7" t="s">
        <v>413</v>
      </c>
      <c r="B185" s="8" t="s">
        <v>513</v>
      </c>
      <c r="H185" s="8"/>
      <c r="L185" s="1"/>
      <c r="O185"/>
      <c r="U185" s="9"/>
      <c r="V185" s="9"/>
      <c r="W185" s="7" t="s">
        <v>521</v>
      </c>
      <c r="X185" s="66">
        <v>63330.89</v>
      </c>
      <c r="Y185" s="84"/>
    </row>
    <row r="186" spans="1:25" s="7" customFormat="1" ht="28.8" x14ac:dyDescent="0.3">
      <c r="A186" s="7" t="s">
        <v>413</v>
      </c>
      <c r="B186" s="8" t="s">
        <v>513</v>
      </c>
      <c r="H186" s="8"/>
      <c r="L186" s="1"/>
      <c r="O186"/>
      <c r="U186" s="9"/>
      <c r="V186" s="9"/>
      <c r="W186" s="7" t="s">
        <v>522</v>
      </c>
      <c r="X186" s="66">
        <v>371452.23</v>
      </c>
      <c r="Y186" s="84"/>
    </row>
    <row r="187" spans="1:25" s="7" customFormat="1" ht="28.8" x14ac:dyDescent="0.3">
      <c r="A187" s="7" t="s">
        <v>413</v>
      </c>
      <c r="B187" s="8" t="s">
        <v>513</v>
      </c>
      <c r="C187" s="68"/>
      <c r="D187" s="68"/>
      <c r="E187" s="68"/>
      <c r="F187" s="68"/>
      <c r="G187" s="68"/>
      <c r="H187" s="69"/>
      <c r="I187" s="68"/>
      <c r="J187" s="68"/>
      <c r="K187" s="68"/>
      <c r="L187" s="70"/>
      <c r="M187" s="68"/>
      <c r="N187" s="68"/>
      <c r="O187" s="64"/>
      <c r="P187" s="68"/>
      <c r="Q187" s="68"/>
      <c r="R187" s="68"/>
      <c r="S187" s="68"/>
      <c r="T187" s="68"/>
      <c r="U187" s="71"/>
      <c r="V187" s="71"/>
      <c r="W187" s="68" t="s">
        <v>523</v>
      </c>
      <c r="X187" s="72">
        <f>SUM(X184:X186)</f>
        <v>720251.83000000007</v>
      </c>
      <c r="Y187" s="84"/>
    </row>
    <row r="188" spans="1:25" s="7" customFormat="1" ht="28.8" x14ac:dyDescent="0.3">
      <c r="A188" s="7" t="s">
        <v>413</v>
      </c>
      <c r="B188" s="8" t="s">
        <v>513</v>
      </c>
      <c r="H188" s="8"/>
      <c r="L188" s="1"/>
      <c r="O188"/>
      <c r="U188" s="9"/>
      <c r="V188" s="9"/>
      <c r="W188" s="7" t="s">
        <v>538</v>
      </c>
      <c r="X188" s="66">
        <v>605368.29</v>
      </c>
      <c r="Y188" s="84"/>
    </row>
    <row r="189" spans="1:25" s="7" customFormat="1" ht="28.8" x14ac:dyDescent="0.3">
      <c r="A189" s="7" t="s">
        <v>413</v>
      </c>
      <c r="B189" s="8" t="s">
        <v>513</v>
      </c>
      <c r="H189" s="8"/>
      <c r="L189" s="1"/>
      <c r="O189"/>
      <c r="U189" s="9"/>
      <c r="V189" s="9"/>
      <c r="W189" s="7" t="s">
        <v>536</v>
      </c>
      <c r="X189" s="66">
        <v>165061.63</v>
      </c>
      <c r="Y189" s="84"/>
    </row>
    <row r="190" spans="1:25" s="7" customFormat="1" ht="28.8" x14ac:dyDescent="0.3">
      <c r="A190" s="7" t="s">
        <v>413</v>
      </c>
      <c r="B190" s="8" t="s">
        <v>513</v>
      </c>
      <c r="H190" s="8"/>
      <c r="L190" s="1"/>
      <c r="O190"/>
      <c r="U190" s="9"/>
      <c r="V190" s="9"/>
      <c r="W190" s="7" t="s">
        <v>537</v>
      </c>
      <c r="X190" s="66">
        <v>1026988.37</v>
      </c>
      <c r="Y190" s="84"/>
    </row>
    <row r="191" spans="1:25" s="7" customFormat="1" ht="28.8" x14ac:dyDescent="0.3">
      <c r="A191" s="7" t="s">
        <v>413</v>
      </c>
      <c r="B191" s="8" t="s">
        <v>513</v>
      </c>
      <c r="H191" s="8"/>
      <c r="L191" s="1"/>
      <c r="O191"/>
      <c r="U191" s="9"/>
      <c r="V191" s="9"/>
      <c r="W191" s="7" t="s">
        <v>524</v>
      </c>
      <c r="X191" s="7">
        <v>16978091.530000001</v>
      </c>
      <c r="Y191" s="84"/>
    </row>
    <row r="192" spans="1:25" s="7" customFormat="1" ht="28.8" x14ac:dyDescent="0.3">
      <c r="A192" s="7" t="s">
        <v>413</v>
      </c>
      <c r="B192" s="8" t="s">
        <v>513</v>
      </c>
      <c r="H192" s="8"/>
      <c r="L192" s="1"/>
      <c r="O192"/>
      <c r="U192" s="9"/>
      <c r="V192" s="9"/>
      <c r="W192" s="7" t="s">
        <v>525</v>
      </c>
      <c r="X192" s="7">
        <v>2505779.77</v>
      </c>
      <c r="Y192" s="84"/>
    </row>
    <row r="193" spans="1:25" s="7" customFormat="1" ht="28.8" x14ac:dyDescent="0.3">
      <c r="A193" s="7" t="s">
        <v>413</v>
      </c>
      <c r="B193" s="8" t="s">
        <v>513</v>
      </c>
      <c r="C193" s="68"/>
      <c r="D193" s="68"/>
      <c r="E193" s="68"/>
      <c r="F193" s="68"/>
      <c r="G193" s="68"/>
      <c r="H193" s="69"/>
      <c r="I193" s="68"/>
      <c r="J193" s="68"/>
      <c r="K193" s="68"/>
      <c r="L193" s="70"/>
      <c r="M193" s="68"/>
      <c r="N193" s="68"/>
      <c r="O193" s="64"/>
      <c r="P193" s="68"/>
      <c r="Q193" s="68"/>
      <c r="R193" s="68"/>
      <c r="S193" s="68"/>
      <c r="T193" s="68"/>
      <c r="U193" s="71"/>
      <c r="V193" s="71"/>
      <c r="W193" s="68" t="s">
        <v>526</v>
      </c>
      <c r="X193" s="68">
        <f>SUM(X191:X192)</f>
        <v>19483871.300000001</v>
      </c>
      <c r="Y193" s="84"/>
    </row>
    <row r="194" spans="1:25" s="7" customFormat="1" ht="28.8" x14ac:dyDescent="0.3">
      <c r="A194" s="7" t="s">
        <v>413</v>
      </c>
      <c r="B194" s="8" t="s">
        <v>513</v>
      </c>
      <c r="H194" s="8"/>
      <c r="L194" s="1"/>
      <c r="O194"/>
      <c r="U194" s="9"/>
      <c r="V194" s="9"/>
      <c r="W194" s="7" t="s">
        <v>527</v>
      </c>
      <c r="X194" s="66">
        <v>4092023.72</v>
      </c>
      <c r="Y194" s="84"/>
    </row>
    <row r="195" spans="1:25" s="7" customFormat="1" ht="28.8" x14ac:dyDescent="0.3">
      <c r="A195" s="7" t="s">
        <v>413</v>
      </c>
      <c r="B195" s="8" t="s">
        <v>513</v>
      </c>
      <c r="H195" s="8"/>
      <c r="L195" s="1"/>
      <c r="O195"/>
      <c r="U195" s="9"/>
      <c r="V195" s="9"/>
      <c r="W195" s="7" t="s">
        <v>528</v>
      </c>
      <c r="X195" s="66">
        <v>593398.73</v>
      </c>
      <c r="Y195" s="84"/>
    </row>
    <row r="196" spans="1:25" s="7" customFormat="1" ht="28.8" x14ac:dyDescent="0.3">
      <c r="A196" s="7" t="s">
        <v>413</v>
      </c>
      <c r="B196" s="8" t="s">
        <v>513</v>
      </c>
      <c r="C196" s="68"/>
      <c r="D196" s="68"/>
      <c r="E196" s="68"/>
      <c r="F196" s="68"/>
      <c r="G196" s="68"/>
      <c r="H196" s="69"/>
      <c r="I196" s="68"/>
      <c r="J196" s="68"/>
      <c r="K196" s="68"/>
      <c r="L196" s="70"/>
      <c r="M196" s="68"/>
      <c r="N196" s="68"/>
      <c r="O196" s="64"/>
      <c r="P196" s="68"/>
      <c r="Q196" s="68"/>
      <c r="R196" s="68"/>
      <c r="S196" s="68"/>
      <c r="T196" s="68"/>
      <c r="U196" s="71"/>
      <c r="V196" s="71"/>
      <c r="W196" s="68" t="s">
        <v>529</v>
      </c>
      <c r="X196" s="72">
        <f>SUM(X194:X195)</f>
        <v>4685422.45</v>
      </c>
      <c r="Y196" s="84"/>
    </row>
    <row r="197" spans="1:25" s="7" customFormat="1" ht="28.8" x14ac:dyDescent="0.3">
      <c r="A197" s="7" t="s">
        <v>413</v>
      </c>
      <c r="B197" s="8" t="s">
        <v>513</v>
      </c>
      <c r="H197" s="8"/>
      <c r="L197" s="1"/>
      <c r="O197"/>
      <c r="U197" s="9"/>
      <c r="V197" s="9"/>
      <c r="W197" s="7" t="s">
        <v>539</v>
      </c>
      <c r="X197" s="66">
        <v>11438292.050000001</v>
      </c>
      <c r="Y197" s="84"/>
    </row>
    <row r="198" spans="1:25" s="7" customFormat="1" ht="28.8" x14ac:dyDescent="0.3">
      <c r="A198" s="7" t="s">
        <v>413</v>
      </c>
      <c r="B198" s="8" t="s">
        <v>513</v>
      </c>
      <c r="H198" s="8"/>
      <c r="L198" s="1"/>
      <c r="O198"/>
      <c r="U198" s="9"/>
      <c r="V198" s="9"/>
      <c r="W198" s="7" t="s">
        <v>540</v>
      </c>
      <c r="X198" s="66">
        <v>1956826.87</v>
      </c>
      <c r="Y198" s="84"/>
    </row>
    <row r="199" spans="1:25" s="7" customFormat="1" ht="28.8" x14ac:dyDescent="0.3">
      <c r="A199" s="7" t="s">
        <v>413</v>
      </c>
      <c r="B199" s="8" t="s">
        <v>513</v>
      </c>
      <c r="H199" s="8"/>
      <c r="L199" s="1"/>
      <c r="O199"/>
      <c r="U199" s="9"/>
      <c r="V199" s="9"/>
      <c r="W199" s="7" t="s">
        <v>530</v>
      </c>
      <c r="X199" s="66">
        <v>39477.769999999997</v>
      </c>
      <c r="Y199" s="84"/>
    </row>
    <row r="200" spans="1:25" s="7" customFormat="1" ht="28.8" x14ac:dyDescent="0.3">
      <c r="A200" s="7" t="s">
        <v>413</v>
      </c>
      <c r="B200" s="8" t="s">
        <v>513</v>
      </c>
      <c r="H200" s="8"/>
      <c r="L200" s="1"/>
      <c r="O200"/>
      <c r="U200" s="9"/>
      <c r="V200" s="9"/>
      <c r="W200" s="7" t="s">
        <v>531</v>
      </c>
      <c r="X200" s="66">
        <v>130007.38</v>
      </c>
      <c r="Y200" s="84"/>
    </row>
    <row r="201" spans="1:25" s="7" customFormat="1" ht="28.8" x14ac:dyDescent="0.3">
      <c r="A201" s="7" t="s">
        <v>413</v>
      </c>
      <c r="B201" s="8" t="s">
        <v>513</v>
      </c>
      <c r="H201" s="8"/>
      <c r="L201" s="1"/>
      <c r="O201"/>
      <c r="U201" s="9"/>
      <c r="V201" s="9"/>
      <c r="W201" s="68" t="s">
        <v>532</v>
      </c>
      <c r="X201" s="72">
        <f>SUM(X199:X200)</f>
        <v>169485.15</v>
      </c>
      <c r="Y201" s="84"/>
    </row>
    <row r="202" spans="1:25" s="7" customFormat="1" ht="28.8" x14ac:dyDescent="0.3">
      <c r="A202" s="7" t="s">
        <v>413</v>
      </c>
      <c r="B202" s="8" t="s">
        <v>513</v>
      </c>
      <c r="H202" s="8"/>
      <c r="L202" s="1"/>
      <c r="O202"/>
      <c r="U202" s="9"/>
      <c r="V202" s="9"/>
      <c r="W202" s="7" t="s">
        <v>533</v>
      </c>
      <c r="X202" s="66">
        <v>15000.81</v>
      </c>
      <c r="Y202" s="84"/>
    </row>
    <row r="203" spans="1:25" s="7" customFormat="1" ht="28.8" x14ac:dyDescent="0.3">
      <c r="A203" s="7" t="s">
        <v>413</v>
      </c>
      <c r="B203" s="8" t="s">
        <v>513</v>
      </c>
      <c r="H203" s="8"/>
      <c r="L203" s="1"/>
      <c r="O203"/>
      <c r="U203" s="9"/>
      <c r="V203" s="9"/>
      <c r="W203" s="7" t="s">
        <v>534</v>
      </c>
      <c r="X203" s="66">
        <v>33084.800000000003</v>
      </c>
      <c r="Y203" s="84"/>
    </row>
    <row r="204" spans="1:25" s="7" customFormat="1" ht="28.8" x14ac:dyDescent="0.3">
      <c r="A204" s="7" t="s">
        <v>413</v>
      </c>
      <c r="B204" s="8" t="s">
        <v>513</v>
      </c>
      <c r="H204" s="8"/>
      <c r="L204" s="1"/>
      <c r="O204"/>
      <c r="U204" s="9"/>
      <c r="V204" s="9"/>
      <c r="W204" s="7" t="s">
        <v>535</v>
      </c>
      <c r="X204" s="66">
        <f>SUM(X202:X203)</f>
        <v>48085.61</v>
      </c>
      <c r="Y204" s="84"/>
    </row>
    <row r="205" spans="1:25" s="7" customFormat="1" ht="28.8" x14ac:dyDescent="0.3">
      <c r="A205" s="7" t="s">
        <v>413</v>
      </c>
      <c r="B205" s="8" t="s">
        <v>513</v>
      </c>
      <c r="H205" s="8"/>
      <c r="L205" s="1"/>
      <c r="O205"/>
      <c r="U205" s="9"/>
      <c r="V205" s="9"/>
      <c r="W205" s="7" t="s">
        <v>541</v>
      </c>
      <c r="X205" s="66">
        <v>39447.699999999997</v>
      </c>
      <c r="Y205" s="84"/>
    </row>
    <row r="206" spans="1:25" s="7" customFormat="1" ht="28.8" x14ac:dyDescent="0.3">
      <c r="A206" s="7" t="s">
        <v>413</v>
      </c>
      <c r="B206" s="8" t="s">
        <v>513</v>
      </c>
      <c r="H206" s="8"/>
      <c r="L206" s="1"/>
      <c r="O206"/>
      <c r="U206" s="9"/>
      <c r="V206" s="9"/>
      <c r="W206" s="7" t="s">
        <v>542</v>
      </c>
      <c r="X206" s="66">
        <v>130007.38</v>
      </c>
      <c r="Y206" s="84"/>
    </row>
    <row r="207" spans="1:25" s="7" customFormat="1" ht="28.8" x14ac:dyDescent="0.3">
      <c r="A207" s="7" t="s">
        <v>413</v>
      </c>
      <c r="B207" s="8" t="s">
        <v>513</v>
      </c>
      <c r="H207" s="8"/>
      <c r="L207" s="1"/>
      <c r="O207"/>
      <c r="U207" s="9"/>
      <c r="V207" s="9"/>
      <c r="W207" s="68" t="s">
        <v>543</v>
      </c>
      <c r="X207" s="72">
        <f>(X184/X188)*100</f>
        <v>47.156204696483194</v>
      </c>
      <c r="Y207" s="84"/>
    </row>
    <row r="208" spans="1:25" s="7" customFormat="1" ht="28.8" x14ac:dyDescent="0.3">
      <c r="A208" s="7" t="s">
        <v>413</v>
      </c>
      <c r="B208" s="8" t="s">
        <v>513</v>
      </c>
      <c r="H208" s="8"/>
      <c r="L208" s="1"/>
      <c r="O208"/>
      <c r="U208" s="9"/>
      <c r="V208" s="9"/>
      <c r="W208" s="68" t="s">
        <v>545</v>
      </c>
      <c r="X208" s="72">
        <f t="shared" ref="X208:X209" si="7">(X185/X189)*100</f>
        <v>38.368026536512453</v>
      </c>
      <c r="Y208" s="84"/>
    </row>
    <row r="209" spans="1:25" s="7" customFormat="1" ht="28.8" x14ac:dyDescent="0.3">
      <c r="A209" s="7" t="s">
        <v>413</v>
      </c>
      <c r="B209" s="8" t="s">
        <v>513</v>
      </c>
      <c r="H209" s="8"/>
      <c r="L209" s="1"/>
      <c r="O209"/>
      <c r="U209" s="9"/>
      <c r="V209" s="9"/>
      <c r="W209" s="68" t="s">
        <v>547</v>
      </c>
      <c r="X209" s="72">
        <f t="shared" si="7"/>
        <v>36.169078526176492</v>
      </c>
      <c r="Y209" s="84"/>
    </row>
    <row r="210" spans="1:25" s="7" customFormat="1" ht="28.8" x14ac:dyDescent="0.3">
      <c r="A210" s="7" t="s">
        <v>413</v>
      </c>
      <c r="B210" s="8" t="s">
        <v>513</v>
      </c>
      <c r="H210" s="8"/>
      <c r="L210" s="1"/>
      <c r="O210"/>
      <c r="U210" s="9"/>
      <c r="V210" s="9"/>
      <c r="W210" s="88" t="s">
        <v>544</v>
      </c>
      <c r="X210" s="86">
        <f>((X184+X185+X186)/(X188+X189+X190))*100</f>
        <v>40.071464389071068</v>
      </c>
      <c r="Y210" s="84"/>
    </row>
    <row r="211" spans="1:25" s="7" customFormat="1" ht="28.8" x14ac:dyDescent="0.3">
      <c r="A211" s="7" t="s">
        <v>413</v>
      </c>
      <c r="B211" s="8" t="s">
        <v>513</v>
      </c>
      <c r="H211" s="8"/>
      <c r="L211" s="1"/>
      <c r="O211"/>
      <c r="U211" s="9"/>
      <c r="V211" s="9"/>
      <c r="W211" s="68" t="s">
        <v>546</v>
      </c>
      <c r="X211" s="72">
        <f>(X194/X197)*100</f>
        <v>35.774779155074995</v>
      </c>
      <c r="Y211" s="84"/>
    </row>
    <row r="212" spans="1:25" s="7" customFormat="1" ht="28.8" x14ac:dyDescent="0.3">
      <c r="A212" s="7" t="s">
        <v>413</v>
      </c>
      <c r="B212" s="8" t="s">
        <v>513</v>
      </c>
      <c r="H212" s="8"/>
      <c r="L212" s="1"/>
      <c r="O212"/>
      <c r="U212" s="9"/>
      <c r="V212" s="9"/>
      <c r="W212" s="68" t="s">
        <v>549</v>
      </c>
      <c r="X212" s="72">
        <f>(X195/X198)*100</f>
        <v>30.324539135135648</v>
      </c>
      <c r="Y212" s="84"/>
    </row>
    <row r="213" spans="1:25" s="7" customFormat="1" ht="28.8" x14ac:dyDescent="0.3">
      <c r="A213" s="7" t="s">
        <v>413</v>
      </c>
      <c r="B213" s="8" t="s">
        <v>513</v>
      </c>
      <c r="H213" s="8"/>
      <c r="L213" s="1"/>
      <c r="O213"/>
      <c r="U213" s="9"/>
      <c r="V213" s="9"/>
      <c r="W213" s="88" t="s">
        <v>548</v>
      </c>
      <c r="X213" s="86">
        <f>((X194+X195)/(X197+X198))*100</f>
        <v>34.978580466383789</v>
      </c>
      <c r="Y213" s="84"/>
    </row>
    <row r="214" spans="1:25" s="7" customFormat="1" ht="28.8" x14ac:dyDescent="0.3">
      <c r="A214" s="7" t="s">
        <v>413</v>
      </c>
      <c r="B214" s="8" t="s">
        <v>513</v>
      </c>
      <c r="H214" s="8"/>
      <c r="L214" s="1"/>
      <c r="O214"/>
      <c r="U214" s="9"/>
      <c r="V214" s="9"/>
      <c r="W214" s="68" t="s">
        <v>550</v>
      </c>
      <c r="X214" s="72">
        <f>(X202/X205)*100</f>
        <v>38.027083961802596</v>
      </c>
      <c r="Y214" s="84"/>
    </row>
    <row r="215" spans="1:25" s="7" customFormat="1" ht="28.8" x14ac:dyDescent="0.3">
      <c r="A215" s="7" t="s">
        <v>413</v>
      </c>
      <c r="B215" s="8" t="s">
        <v>513</v>
      </c>
      <c r="H215" s="8"/>
      <c r="L215" s="1"/>
      <c r="O215"/>
      <c r="U215" s="9"/>
      <c r="V215" s="9"/>
      <c r="W215" s="68" t="s">
        <v>551</v>
      </c>
      <c r="X215" s="72">
        <f>(X203/X206)*100</f>
        <v>25.448401467670529</v>
      </c>
      <c r="Y215" s="84"/>
    </row>
    <row r="216" spans="1:25" s="7" customFormat="1" ht="28.8" x14ac:dyDescent="0.3">
      <c r="A216" s="7" t="s">
        <v>413</v>
      </c>
      <c r="B216" s="8" t="s">
        <v>513</v>
      </c>
      <c r="H216" s="8"/>
      <c r="L216" s="1"/>
      <c r="O216"/>
      <c r="U216" s="9"/>
      <c r="V216" s="9"/>
      <c r="W216" s="88" t="s">
        <v>552</v>
      </c>
      <c r="X216" s="86">
        <f>((X202+X203)/(X205+X206))*100</f>
        <v>28.376611666053325</v>
      </c>
      <c r="Y216" s="84"/>
    </row>
    <row r="217" spans="1:25" s="7" customFormat="1" ht="28.8" x14ac:dyDescent="0.3">
      <c r="A217" s="7" t="s">
        <v>45</v>
      </c>
      <c r="B217" s="8" t="s">
        <v>555</v>
      </c>
      <c r="H217" s="8"/>
      <c r="L217" s="1"/>
      <c r="O217"/>
      <c r="U217" s="9"/>
      <c r="V217" s="9"/>
      <c r="W217" t="s">
        <v>556</v>
      </c>
      <c r="X217">
        <v>357.12900000000002</v>
      </c>
      <c r="Y217" s="84"/>
    </row>
    <row r="218" spans="1:25" s="7" customFormat="1" ht="28.8" x14ac:dyDescent="0.3">
      <c r="A218" s="7" t="s">
        <v>45</v>
      </c>
      <c r="B218" s="8" t="s">
        <v>555</v>
      </c>
      <c r="H218" s="8"/>
      <c r="L218" s="1"/>
      <c r="O218"/>
      <c r="U218" s="9"/>
      <c r="V218" s="9"/>
      <c r="W218" t="s">
        <v>557</v>
      </c>
      <c r="X218">
        <v>44.527999999999999</v>
      </c>
      <c r="Y218" s="84"/>
    </row>
    <row r="219" spans="1:25" s="7" customFormat="1" ht="28.8" x14ac:dyDescent="0.3">
      <c r="A219" s="7" t="s">
        <v>45</v>
      </c>
      <c r="B219" s="8" t="s">
        <v>555</v>
      </c>
      <c r="H219" s="8"/>
      <c r="L219" s="1"/>
      <c r="O219"/>
      <c r="U219" s="9"/>
      <c r="V219" s="9"/>
      <c r="W219" t="s">
        <v>558</v>
      </c>
      <c r="X219">
        <v>22.210999999999999</v>
      </c>
      <c r="Y219" s="84"/>
    </row>
    <row r="220" spans="1:25" s="7" customFormat="1" ht="28.8" x14ac:dyDescent="0.3">
      <c r="A220" s="7" t="s">
        <v>45</v>
      </c>
      <c r="B220" s="8" t="s">
        <v>555</v>
      </c>
      <c r="H220" s="8"/>
      <c r="L220" s="1"/>
      <c r="O220"/>
      <c r="U220" s="9"/>
      <c r="V220" s="9"/>
      <c r="W220" t="s">
        <v>559</v>
      </c>
      <c r="X220">
        <v>6.5419999999999998</v>
      </c>
      <c r="Y220" s="84"/>
    </row>
    <row r="221" spans="1:25" s="7" customFormat="1" ht="28.8" x14ac:dyDescent="0.3">
      <c r="A221" s="7" t="s">
        <v>45</v>
      </c>
      <c r="B221" s="8" t="s">
        <v>555</v>
      </c>
      <c r="H221" s="8"/>
      <c r="L221" s="1"/>
      <c r="O221"/>
      <c r="U221" s="9"/>
      <c r="V221" s="9"/>
      <c r="W221" t="s">
        <v>560</v>
      </c>
      <c r="X221">
        <v>5.2839999999999998</v>
      </c>
      <c r="Y221" s="84"/>
    </row>
    <row r="222" spans="1:25" s="7" customFormat="1" ht="28.8" x14ac:dyDescent="0.3">
      <c r="A222" s="7" t="s">
        <v>45</v>
      </c>
      <c r="B222" s="8" t="s">
        <v>555</v>
      </c>
      <c r="H222" s="8"/>
      <c r="L222" s="1"/>
      <c r="O222"/>
      <c r="U222" s="9"/>
      <c r="V222" s="9"/>
      <c r="W222" t="s">
        <v>561</v>
      </c>
      <c r="X222">
        <v>2.202</v>
      </c>
      <c r="Y222" s="84"/>
    </row>
    <row r="223" spans="1:25" s="7" customFormat="1" ht="28.8" x14ac:dyDescent="0.3">
      <c r="A223" s="7" t="s">
        <v>45</v>
      </c>
      <c r="B223" s="8" t="s">
        <v>555</v>
      </c>
      <c r="H223" s="8"/>
      <c r="L223" s="1"/>
      <c r="O223"/>
      <c r="U223" s="9"/>
      <c r="V223" s="9"/>
      <c r="W223" s="68" t="s">
        <v>562</v>
      </c>
      <c r="X223" s="72">
        <f>SUM(X217:X222)</f>
        <v>437.89600000000002</v>
      </c>
      <c r="Y223" s="84"/>
    </row>
    <row r="224" spans="1:25" s="7" customFormat="1" ht="28.8" x14ac:dyDescent="0.3">
      <c r="A224" s="7" t="s">
        <v>45</v>
      </c>
      <c r="B224" s="8" t="s">
        <v>555</v>
      </c>
      <c r="H224" s="8"/>
      <c r="L224" s="1"/>
      <c r="O224"/>
      <c r="U224" s="9"/>
      <c r="V224" s="9"/>
      <c r="W224" s="7" t="s">
        <v>563</v>
      </c>
      <c r="X224" s="66">
        <v>378022.40000000002</v>
      </c>
      <c r="Y224" s="84"/>
    </row>
    <row r="225" spans="1:25" s="7" customFormat="1" ht="28.8" x14ac:dyDescent="0.3">
      <c r="A225" s="7" t="s">
        <v>45</v>
      </c>
      <c r="B225" s="8" t="s">
        <v>555</v>
      </c>
      <c r="H225" s="8"/>
      <c r="L225" s="1"/>
      <c r="O225"/>
      <c r="U225" s="9"/>
      <c r="V225" s="9"/>
      <c r="W225" s="7" t="s">
        <v>564</v>
      </c>
      <c r="X225" s="66">
        <v>437896.5</v>
      </c>
      <c r="Y225" s="84"/>
    </row>
    <row r="226" spans="1:25" s="7" customFormat="1" ht="28.8" x14ac:dyDescent="0.3">
      <c r="A226" s="7" t="s">
        <v>45</v>
      </c>
      <c r="B226" s="8" t="s">
        <v>555</v>
      </c>
      <c r="H226" s="8"/>
      <c r="L226" s="1"/>
      <c r="O226"/>
      <c r="U226" s="9"/>
      <c r="V226" s="9"/>
      <c r="W226" s="7" t="s">
        <v>565</v>
      </c>
      <c r="X226" s="66">
        <v>2649.69</v>
      </c>
      <c r="Y226" s="84"/>
    </row>
    <row r="227" spans="1:25" s="7" customFormat="1" ht="28.8" x14ac:dyDescent="0.3">
      <c r="A227" s="7" t="s">
        <v>45</v>
      </c>
      <c r="B227" s="8" t="s">
        <v>555</v>
      </c>
      <c r="H227" s="8"/>
      <c r="L227" s="1"/>
      <c r="O227"/>
      <c r="U227" s="9"/>
      <c r="V227" s="9"/>
      <c r="W227" s="7" t="s">
        <v>566</v>
      </c>
      <c r="X227" s="66">
        <v>5990.88</v>
      </c>
      <c r="Y227" s="84"/>
    </row>
    <row r="228" spans="1:25" s="7" customFormat="1" ht="28.8" x14ac:dyDescent="0.3">
      <c r="A228" s="7" t="s">
        <v>45</v>
      </c>
      <c r="B228" s="8" t="s">
        <v>555</v>
      </c>
      <c r="H228" s="8"/>
      <c r="L228" s="1"/>
      <c r="O228"/>
      <c r="U228" s="9"/>
      <c r="V228" s="9"/>
      <c r="W228" s="7" t="s">
        <v>567</v>
      </c>
      <c r="X228" s="66">
        <v>13265.47</v>
      </c>
      <c r="Y228" s="84"/>
    </row>
    <row r="229" spans="1:25" s="7" customFormat="1" ht="28.8" x14ac:dyDescent="0.3">
      <c r="A229" s="7" t="s">
        <v>45</v>
      </c>
      <c r="B229" s="8" t="s">
        <v>555</v>
      </c>
      <c r="H229" s="8"/>
      <c r="L229" s="1"/>
      <c r="O229"/>
      <c r="U229" s="9"/>
      <c r="V229" s="9"/>
      <c r="W229" s="7" t="s">
        <v>568</v>
      </c>
      <c r="X229" s="66">
        <v>17692.97</v>
      </c>
      <c r="Y229" s="84"/>
    </row>
    <row r="230" spans="1:25" s="7" customFormat="1" ht="28.8" x14ac:dyDescent="0.3">
      <c r="A230" s="7" t="s">
        <v>45</v>
      </c>
      <c r="B230" s="8" t="s">
        <v>555</v>
      </c>
      <c r="H230" s="8"/>
      <c r="L230" s="1"/>
      <c r="O230"/>
      <c r="U230" s="9"/>
      <c r="V230" s="9"/>
      <c r="W230" s="7" t="s">
        <v>569</v>
      </c>
      <c r="X230" s="66">
        <v>20.132000000000001</v>
      </c>
      <c r="Y230" s="84"/>
    </row>
    <row r="231" spans="1:25" s="7" customFormat="1" ht="28.8" x14ac:dyDescent="0.3">
      <c r="A231" s="7" t="s">
        <v>45</v>
      </c>
      <c r="B231" s="8" t="s">
        <v>555</v>
      </c>
      <c r="H231" s="8"/>
      <c r="L231" s="1"/>
      <c r="O231"/>
      <c r="U231" s="9"/>
      <c r="V231" s="9"/>
      <c r="W231" s="7" t="s">
        <v>570</v>
      </c>
      <c r="X231" s="66">
        <v>7348.2089999999998</v>
      </c>
      <c r="Y231" s="84"/>
    </row>
    <row r="232" spans="1:25" s="7" customFormat="1" ht="28.8" x14ac:dyDescent="0.3">
      <c r="A232" s="7" t="s">
        <v>45</v>
      </c>
      <c r="B232" s="8" t="s">
        <v>555</v>
      </c>
      <c r="H232" s="8"/>
      <c r="L232" s="1"/>
      <c r="O232"/>
      <c r="U232" s="9"/>
      <c r="V232" s="9"/>
      <c r="W232" s="7" t="s">
        <v>571</v>
      </c>
      <c r="X232" s="66">
        <v>7348209438.1630001</v>
      </c>
      <c r="Y232" s="84"/>
    </row>
    <row r="233" spans="1:25" s="7" customFormat="1" ht="28.8" x14ac:dyDescent="0.3">
      <c r="A233" s="7" t="s">
        <v>45</v>
      </c>
      <c r="B233" s="8" t="s">
        <v>555</v>
      </c>
      <c r="H233" s="8"/>
      <c r="L233" s="1"/>
      <c r="O233"/>
      <c r="U233" s="9"/>
      <c r="V233" s="9"/>
      <c r="W233" s="7" t="s">
        <v>572</v>
      </c>
      <c r="X233" s="66">
        <v>1289159.551</v>
      </c>
      <c r="Y233" s="84"/>
    </row>
    <row r="234" spans="1:25" s="7" customFormat="1" ht="28.8" x14ac:dyDescent="0.3">
      <c r="A234" s="7" t="s">
        <v>45</v>
      </c>
      <c r="B234" s="8" t="s">
        <v>555</v>
      </c>
      <c r="H234" s="8"/>
      <c r="L234" s="1"/>
      <c r="O234"/>
      <c r="U234" s="9"/>
      <c r="V234" s="9"/>
      <c r="W234" s="68" t="s">
        <v>573</v>
      </c>
      <c r="X234" s="92">
        <f>X233</f>
        <v>1289159.551</v>
      </c>
      <c r="Y234" s="84"/>
    </row>
    <row r="235" spans="1:25" s="7" customFormat="1" ht="28.8" x14ac:dyDescent="0.3">
      <c r="A235" s="7" t="s">
        <v>45</v>
      </c>
      <c r="B235" s="8" t="s">
        <v>555</v>
      </c>
      <c r="H235" s="8"/>
      <c r="L235" s="1"/>
      <c r="O235"/>
      <c r="U235" s="9"/>
      <c r="V235" s="9"/>
      <c r="W235" s="7" t="s">
        <v>575</v>
      </c>
      <c r="X235" s="66">
        <v>1187839.578</v>
      </c>
      <c r="Y235" s="84"/>
    </row>
    <row r="236" spans="1:25" s="7" customFormat="1" ht="28.8" x14ac:dyDescent="0.3">
      <c r="A236" s="7" t="s">
        <v>45</v>
      </c>
      <c r="B236" s="8" t="s">
        <v>555</v>
      </c>
      <c r="H236" s="8"/>
      <c r="L236" s="1"/>
      <c r="O236"/>
      <c r="U236" s="9"/>
      <c r="V236" s="9"/>
      <c r="W236" s="7" t="s">
        <v>576</v>
      </c>
      <c r="X236" s="66">
        <v>3303588.6439999999</v>
      </c>
      <c r="Y236" s="84"/>
    </row>
    <row r="237" spans="1:25" s="7" customFormat="1" ht="28.8" x14ac:dyDescent="0.3">
      <c r="A237" s="7" t="s">
        <v>45</v>
      </c>
      <c r="B237" s="8" t="s">
        <v>555</v>
      </c>
      <c r="H237" s="8"/>
      <c r="L237" s="1"/>
      <c r="O237"/>
      <c r="U237" s="9"/>
      <c r="V237" s="9"/>
      <c r="W237" s="7" t="s">
        <v>577</v>
      </c>
      <c r="X237" s="66">
        <v>3403329.949</v>
      </c>
      <c r="Y237" s="84"/>
    </row>
    <row r="238" spans="1:25" s="7" customFormat="1" ht="28.8" x14ac:dyDescent="0.3">
      <c r="A238" s="7" t="s">
        <v>45</v>
      </c>
      <c r="B238" s="8" t="s">
        <v>555</v>
      </c>
      <c r="H238" s="8"/>
      <c r="L238" s="1"/>
      <c r="O238"/>
      <c r="U238" s="9"/>
      <c r="V238" s="9"/>
      <c r="W238" s="68" t="s">
        <v>574</v>
      </c>
      <c r="X238" s="72">
        <f>X234+X236</f>
        <v>4592748.1950000003</v>
      </c>
      <c r="Y238" s="84"/>
    </row>
    <row r="239" spans="1:25" s="7" customFormat="1" ht="28.8" x14ac:dyDescent="0.3">
      <c r="A239" s="7" t="s">
        <v>45</v>
      </c>
      <c r="B239" s="8" t="s">
        <v>555</v>
      </c>
      <c r="H239" s="8"/>
      <c r="L239" s="1"/>
      <c r="O239"/>
      <c r="U239" s="9"/>
      <c r="V239" s="9"/>
      <c r="W239" s="68" t="s">
        <v>578</v>
      </c>
      <c r="X239" s="72">
        <f>X235+X237</f>
        <v>4591169.5269999998</v>
      </c>
      <c r="Y239" s="84"/>
    </row>
    <row r="240" spans="1:25" s="7" customFormat="1" ht="28.8" x14ac:dyDescent="0.3">
      <c r="A240" s="7" t="s">
        <v>45</v>
      </c>
      <c r="B240" s="8" t="s">
        <v>555</v>
      </c>
      <c r="H240" s="8"/>
      <c r="L240" s="1"/>
      <c r="O240"/>
      <c r="U240" s="9"/>
      <c r="V240" s="9"/>
      <c r="W240" s="7" t="s">
        <v>579</v>
      </c>
      <c r="X240" s="66">
        <v>109205.823</v>
      </c>
      <c r="Y240" s="84"/>
    </row>
    <row r="241" spans="1:25" s="7" customFormat="1" ht="28.8" x14ac:dyDescent="0.3">
      <c r="A241" s="7" t="s">
        <v>45</v>
      </c>
      <c r="B241" s="8" t="s">
        <v>555</v>
      </c>
      <c r="H241" s="8"/>
      <c r="L241" s="1"/>
      <c r="O241"/>
      <c r="U241" s="9"/>
      <c r="V241" s="9"/>
      <c r="W241" s="7" t="s">
        <v>580</v>
      </c>
      <c r="X241" s="66">
        <v>105835.57799999999</v>
      </c>
      <c r="Y241" s="84"/>
    </row>
    <row r="242" spans="1:25" s="7" customFormat="1" ht="28.8" x14ac:dyDescent="0.3">
      <c r="A242" s="7" t="s">
        <v>45</v>
      </c>
      <c r="B242" s="8" t="s">
        <v>555</v>
      </c>
      <c r="H242" s="8"/>
      <c r="L242" s="1"/>
      <c r="O242"/>
      <c r="U242" s="9"/>
      <c r="V242" s="9"/>
      <c r="W242" s="7" t="s">
        <v>581</v>
      </c>
      <c r="X242" s="66">
        <v>76908.45</v>
      </c>
      <c r="Y242" s="84"/>
    </row>
    <row r="243" spans="1:25" s="7" customFormat="1" ht="28.8" x14ac:dyDescent="0.3">
      <c r="A243" s="7" t="s">
        <v>45</v>
      </c>
      <c r="B243" s="8" t="s">
        <v>555</v>
      </c>
      <c r="H243" s="8"/>
      <c r="L243" s="1"/>
      <c r="O243"/>
      <c r="U243" s="9"/>
      <c r="V243" s="9"/>
      <c r="W243" s="7" t="s">
        <v>582</v>
      </c>
      <c r="X243" s="66">
        <v>80684.240000000005</v>
      </c>
      <c r="Y243" s="84"/>
    </row>
    <row r="244" spans="1:25" s="7" customFormat="1" ht="28.8" x14ac:dyDescent="0.3">
      <c r="A244" s="7" t="s">
        <v>45</v>
      </c>
      <c r="B244" s="8" t="s">
        <v>555</v>
      </c>
      <c r="H244" s="8"/>
      <c r="L244" s="1"/>
      <c r="O244"/>
      <c r="U244" s="9"/>
      <c r="V244" s="9"/>
      <c r="W244" s="68" t="s">
        <v>583</v>
      </c>
      <c r="X244" s="72">
        <f>(((X225/X239)-(X224/X238))/(X224/X238))*100</f>
        <v>15.878601419761331</v>
      </c>
      <c r="Y244" s="84"/>
    </row>
    <row r="245" spans="1:25" s="7" customFormat="1" ht="28.8" x14ac:dyDescent="0.3">
      <c r="A245" s="7" t="s">
        <v>45</v>
      </c>
      <c r="B245" s="8" t="s">
        <v>555</v>
      </c>
      <c r="H245" s="8"/>
      <c r="L245" s="1"/>
      <c r="O245"/>
      <c r="U245" s="9"/>
      <c r="V245" s="9"/>
      <c r="W245" s="68" t="s">
        <v>584</v>
      </c>
      <c r="X245" s="72">
        <f>(((X229/X241)-(X228/X240))/(X228/X240))*100</f>
        <v>37.62337673871162</v>
      </c>
      <c r="Y245" s="84"/>
    </row>
    <row r="246" spans="1:25" s="7" customFormat="1" ht="28.8" x14ac:dyDescent="0.3">
      <c r="A246" s="7" t="s">
        <v>45</v>
      </c>
      <c r="B246" s="8" t="s">
        <v>555</v>
      </c>
      <c r="H246" s="8"/>
      <c r="L246" s="1"/>
      <c r="O246"/>
      <c r="U246" s="9"/>
      <c r="V246" s="9"/>
      <c r="W246" s="68" t="s">
        <v>585</v>
      </c>
      <c r="X246" s="72">
        <f>(((X227/X243)-(X226/X242))/(X226/X242))*100</f>
        <v>115.51668588750286</v>
      </c>
      <c r="Y246" s="84"/>
    </row>
    <row r="247" spans="1:25" s="8" customFormat="1" ht="138" customHeight="1" x14ac:dyDescent="0.3">
      <c r="A247" t="s">
        <v>45</v>
      </c>
      <c r="B247" t="s">
        <v>46</v>
      </c>
      <c r="C247" t="s">
        <v>47</v>
      </c>
      <c r="D247" t="s">
        <v>48</v>
      </c>
      <c r="E247" t="s">
        <v>49</v>
      </c>
      <c r="F247" t="s">
        <v>50</v>
      </c>
      <c r="G247">
        <v>2023</v>
      </c>
      <c r="H247" t="s">
        <v>51</v>
      </c>
      <c r="I247" t="s">
        <v>52</v>
      </c>
      <c r="J247" t="s">
        <v>53</v>
      </c>
      <c r="K247"/>
      <c r="L247"/>
      <c r="M247"/>
      <c r="N247"/>
      <c r="O247" t="s">
        <v>54</v>
      </c>
      <c r="P247">
        <v>45291</v>
      </c>
      <c r="Q247" t="s">
        <v>55</v>
      </c>
      <c r="R247" t="s">
        <v>56</v>
      </c>
      <c r="S247" t="s">
        <v>57</v>
      </c>
      <c r="T247"/>
      <c r="U247" t="s">
        <v>60</v>
      </c>
      <c r="V247" t="s">
        <v>61</v>
      </c>
      <c r="W247" t="s">
        <v>58</v>
      </c>
      <c r="X247">
        <v>18</v>
      </c>
    </row>
    <row r="248" spans="1:25" s="7" customFormat="1" x14ac:dyDescent="0.3">
      <c r="A248" t="s">
        <v>45</v>
      </c>
      <c r="B248" t="s">
        <v>46</v>
      </c>
      <c r="C248"/>
      <c r="D248"/>
      <c r="E248"/>
      <c r="F248"/>
      <c r="G248"/>
      <c r="H248" t="s">
        <v>51</v>
      </c>
      <c r="I248"/>
      <c r="J248"/>
      <c r="K248"/>
      <c r="L248"/>
      <c r="M248"/>
      <c r="N248"/>
      <c r="O248" t="s">
        <v>54</v>
      </c>
      <c r="P248">
        <v>45291</v>
      </c>
      <c r="Q248" t="s">
        <v>55</v>
      </c>
      <c r="R248" t="s">
        <v>56</v>
      </c>
      <c r="S248" t="s">
        <v>57</v>
      </c>
      <c r="T248"/>
      <c r="U248" t="s">
        <v>60</v>
      </c>
      <c r="V248" t="s">
        <v>61</v>
      </c>
      <c r="W248" t="s">
        <v>63</v>
      </c>
      <c r="X248">
        <v>29</v>
      </c>
    </row>
    <row r="249" spans="1:25" s="7" customFormat="1" ht="61.95" customHeight="1" x14ac:dyDescent="0.3">
      <c r="A249" t="s">
        <v>45</v>
      </c>
      <c r="B249" t="s">
        <v>46</v>
      </c>
      <c r="C249"/>
      <c r="D249"/>
      <c r="E249"/>
      <c r="F249"/>
      <c r="G249"/>
      <c r="H249" t="s">
        <v>51</v>
      </c>
      <c r="I249"/>
      <c r="J249"/>
      <c r="K249"/>
      <c r="L249"/>
      <c r="M249"/>
      <c r="N249"/>
      <c r="O249" t="s">
        <v>54</v>
      </c>
      <c r="P249">
        <v>45291</v>
      </c>
      <c r="Q249" t="s">
        <v>55</v>
      </c>
      <c r="R249" t="s">
        <v>56</v>
      </c>
      <c r="S249" t="s">
        <v>57</v>
      </c>
      <c r="T249"/>
      <c r="U249" t="s">
        <v>60</v>
      </c>
      <c r="V249" t="s">
        <v>61</v>
      </c>
      <c r="W249" t="s">
        <v>64</v>
      </c>
      <c r="X249">
        <v>17</v>
      </c>
    </row>
    <row r="250" spans="1:25" s="7" customFormat="1" x14ac:dyDescent="0.3">
      <c r="A250" t="s">
        <v>45</v>
      </c>
      <c r="B250" t="s">
        <v>46</v>
      </c>
      <c r="C250"/>
      <c r="D250"/>
      <c r="E250"/>
      <c r="F250"/>
      <c r="G250"/>
      <c r="H250" t="s">
        <v>51</v>
      </c>
      <c r="I250"/>
      <c r="J250"/>
      <c r="K250"/>
      <c r="L250"/>
      <c r="M250"/>
      <c r="N250"/>
      <c r="O250" t="s">
        <v>54</v>
      </c>
      <c r="P250">
        <v>45291</v>
      </c>
      <c r="Q250" t="s">
        <v>55</v>
      </c>
      <c r="R250" t="s">
        <v>56</v>
      </c>
      <c r="S250" t="s">
        <v>57</v>
      </c>
      <c r="T250"/>
      <c r="U250" t="s">
        <v>60</v>
      </c>
      <c r="V250" t="s">
        <v>61</v>
      </c>
      <c r="W250" t="s">
        <v>65</v>
      </c>
      <c r="X250">
        <v>22</v>
      </c>
    </row>
    <row r="251" spans="1:25" s="7" customFormat="1" x14ac:dyDescent="0.3">
      <c r="A251" t="s">
        <v>45</v>
      </c>
      <c r="B251" t="s">
        <v>46</v>
      </c>
      <c r="C251"/>
      <c r="D251"/>
      <c r="E251"/>
      <c r="F251"/>
      <c r="G251"/>
      <c r="H251" t="s">
        <v>51</v>
      </c>
      <c r="I251"/>
      <c r="J251"/>
      <c r="K251"/>
      <c r="L251"/>
      <c r="M251"/>
      <c r="N251"/>
      <c r="O251" t="s">
        <v>54</v>
      </c>
      <c r="P251">
        <v>45291</v>
      </c>
      <c r="Q251" t="s">
        <v>55</v>
      </c>
      <c r="R251" t="s">
        <v>56</v>
      </c>
      <c r="S251" t="s">
        <v>57</v>
      </c>
      <c r="T251"/>
      <c r="U251" t="s">
        <v>60</v>
      </c>
      <c r="V251" t="s">
        <v>61</v>
      </c>
      <c r="W251" t="s">
        <v>66</v>
      </c>
      <c r="X251">
        <v>1</v>
      </c>
    </row>
    <row r="252" spans="1:25" s="7" customFormat="1" x14ac:dyDescent="0.3">
      <c r="A252" t="s">
        <v>45</v>
      </c>
      <c r="B252" t="s">
        <v>46</v>
      </c>
      <c r="C252"/>
      <c r="D252"/>
      <c r="E252"/>
      <c r="F252"/>
      <c r="G252"/>
      <c r="H252" t="s">
        <v>51</v>
      </c>
      <c r="I252"/>
      <c r="J252"/>
      <c r="K252"/>
      <c r="L252"/>
      <c r="M252"/>
      <c r="N252"/>
      <c r="O252" t="s">
        <v>54</v>
      </c>
      <c r="P252">
        <v>45291</v>
      </c>
      <c r="Q252" t="s">
        <v>55</v>
      </c>
      <c r="R252" t="s">
        <v>56</v>
      </c>
      <c r="S252" t="s">
        <v>57</v>
      </c>
      <c r="T252"/>
      <c r="U252" t="s">
        <v>60</v>
      </c>
      <c r="V252" t="s">
        <v>61</v>
      </c>
      <c r="W252" t="s">
        <v>67</v>
      </c>
      <c r="X252">
        <v>5</v>
      </c>
    </row>
    <row r="253" spans="1:25" s="7" customFormat="1" x14ac:dyDescent="0.3">
      <c r="A253" t="s">
        <v>45</v>
      </c>
      <c r="B253" t="s">
        <v>592</v>
      </c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 t="s">
        <v>593</v>
      </c>
      <c r="X253">
        <v>0</v>
      </c>
    </row>
    <row r="254" spans="1:25" s="7" customFormat="1" x14ac:dyDescent="0.3">
      <c r="A254" t="s">
        <v>45</v>
      </c>
      <c r="B254" t="s">
        <v>592</v>
      </c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 t="s">
        <v>594</v>
      </c>
      <c r="X254">
        <v>0</v>
      </c>
    </row>
    <row r="255" spans="1:25" s="7" customFormat="1" x14ac:dyDescent="0.3">
      <c r="A255" t="s">
        <v>45</v>
      </c>
      <c r="B255" t="s">
        <v>592</v>
      </c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 t="s">
        <v>595</v>
      </c>
      <c r="X255">
        <v>0</v>
      </c>
    </row>
    <row r="256" spans="1:25" s="7" customFormat="1" x14ac:dyDescent="0.3">
      <c r="A256" t="s">
        <v>45</v>
      </c>
      <c r="B256" t="s">
        <v>592</v>
      </c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 t="s">
        <v>596</v>
      </c>
      <c r="X256">
        <v>11</v>
      </c>
    </row>
    <row r="257" spans="1:24" s="7" customFormat="1" x14ac:dyDescent="0.3">
      <c r="A257" t="s">
        <v>45</v>
      </c>
      <c r="B257" t="s">
        <v>592</v>
      </c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 t="s">
        <v>597</v>
      </c>
      <c r="X257">
        <v>0</v>
      </c>
    </row>
    <row r="258" spans="1:24" s="7" customFormat="1" x14ac:dyDescent="0.3">
      <c r="A258" t="s">
        <v>45</v>
      </c>
      <c r="B258" t="s">
        <v>592</v>
      </c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 t="s">
        <v>598</v>
      </c>
      <c r="X258">
        <v>12</v>
      </c>
    </row>
    <row r="259" spans="1:24" s="7" customFormat="1" x14ac:dyDescent="0.3">
      <c r="A259" t="s">
        <v>601</v>
      </c>
      <c r="B259" t="s">
        <v>602</v>
      </c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 t="s">
        <v>603</v>
      </c>
      <c r="X259" s="7">
        <v>84339.245299999995</v>
      </c>
    </row>
    <row r="260" spans="1:24" s="7" customFormat="1" x14ac:dyDescent="0.3">
      <c r="A260" t="s">
        <v>601</v>
      </c>
      <c r="B260" t="s">
        <v>602</v>
      </c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 t="s">
        <v>604</v>
      </c>
      <c r="X260" s="7">
        <v>77402.082599999994</v>
      </c>
    </row>
    <row r="261" spans="1:24" s="7" customFormat="1" x14ac:dyDescent="0.3">
      <c r="A261" t="s">
        <v>601</v>
      </c>
      <c r="B261" t="s">
        <v>602</v>
      </c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 s="64" t="s">
        <v>605</v>
      </c>
      <c r="X261" s="64">
        <f>((X259-X260)/X259)*100</f>
        <v>8.2253080109077068</v>
      </c>
    </row>
    <row r="262" spans="1:24" s="7" customFormat="1" x14ac:dyDescent="0.3">
      <c r="A262" t="s">
        <v>601</v>
      </c>
      <c r="B262" t="s">
        <v>602</v>
      </c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 t="s">
        <v>606</v>
      </c>
      <c r="X262">
        <v>19593.858499999998</v>
      </c>
    </row>
    <row r="263" spans="1:24" s="7" customFormat="1" x14ac:dyDescent="0.3">
      <c r="A263" t="s">
        <v>601</v>
      </c>
      <c r="B263" t="s">
        <v>602</v>
      </c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 t="s">
        <v>607</v>
      </c>
      <c r="X263">
        <v>24193.562399999999</v>
      </c>
    </row>
    <row r="264" spans="1:24" s="7" customFormat="1" x14ac:dyDescent="0.3">
      <c r="A264" t="s">
        <v>601</v>
      </c>
      <c r="B264" t="s">
        <v>602</v>
      </c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 s="64" t="s">
        <v>608</v>
      </c>
      <c r="X264" s="64">
        <f>((X262-X263)/X262)*100</f>
        <v>-23.475232813383851</v>
      </c>
    </row>
    <row r="265" spans="1:24" s="7" customFormat="1" x14ac:dyDescent="0.3">
      <c r="A265" t="s">
        <v>601</v>
      </c>
      <c r="B265" t="s">
        <v>602</v>
      </c>
      <c r="C265"/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 t="s">
        <v>609</v>
      </c>
      <c r="X265">
        <v>3759.0001999999999</v>
      </c>
    </row>
    <row r="266" spans="1:24" s="7" customFormat="1" x14ac:dyDescent="0.3">
      <c r="A266" t="s">
        <v>601</v>
      </c>
      <c r="B266" t="s">
        <v>602</v>
      </c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 t="s">
        <v>610</v>
      </c>
      <c r="X266">
        <v>3479.6579000000002</v>
      </c>
    </row>
    <row r="267" spans="1:24" s="7" customFormat="1" x14ac:dyDescent="0.3">
      <c r="A267" t="s">
        <v>601</v>
      </c>
      <c r="B267" t="s">
        <v>602</v>
      </c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 s="64" t="s">
        <v>611</v>
      </c>
      <c r="X267" s="64">
        <f>((X265-X266)/X265)*100</f>
        <v>7.4312925016604092</v>
      </c>
    </row>
    <row r="268" spans="1:24" s="7" customFormat="1" x14ac:dyDescent="0.3">
      <c r="A268" t="s">
        <v>601</v>
      </c>
      <c r="B268" t="s">
        <v>602</v>
      </c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 t="s">
        <v>612</v>
      </c>
      <c r="X268">
        <v>7141.9210000000003</v>
      </c>
    </row>
    <row r="269" spans="1:24" s="7" customFormat="1" x14ac:dyDescent="0.3">
      <c r="A269" t="s">
        <v>601</v>
      </c>
      <c r="B269" t="s">
        <v>602</v>
      </c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 t="s">
        <v>613</v>
      </c>
      <c r="X269">
        <v>7554.8861999999999</v>
      </c>
    </row>
    <row r="270" spans="1:24" s="7" customFormat="1" x14ac:dyDescent="0.3">
      <c r="A270" t="s">
        <v>601</v>
      </c>
      <c r="B270" t="s">
        <v>602</v>
      </c>
      <c r="C270"/>
      <c r="D270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  <c r="W270" s="64" t="s">
        <v>614</v>
      </c>
      <c r="X270" s="64">
        <f>((X268-X269)/X268)*100</f>
        <v>-5.7822706243880271</v>
      </c>
    </row>
    <row r="271" spans="1:24" s="7" customFormat="1" x14ac:dyDescent="0.3">
      <c r="A271" t="s">
        <v>601</v>
      </c>
      <c r="B271" t="s">
        <v>602</v>
      </c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 t="s">
        <v>615</v>
      </c>
      <c r="X271">
        <v>399.75369999999998</v>
      </c>
    </row>
    <row r="272" spans="1:24" s="7" customFormat="1" x14ac:dyDescent="0.3">
      <c r="A272" t="s">
        <v>601</v>
      </c>
      <c r="B272" t="s">
        <v>602</v>
      </c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 t="s">
        <v>616</v>
      </c>
      <c r="X272">
        <v>318.61</v>
      </c>
    </row>
    <row r="273" spans="1:24" s="7" customFormat="1" x14ac:dyDescent="0.3">
      <c r="A273" t="s">
        <v>601</v>
      </c>
      <c r="B273" t="s">
        <v>602</v>
      </c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 s="64" t="s">
        <v>617</v>
      </c>
      <c r="X273" s="64">
        <f>((X271-X272)/X271)*100</f>
        <v>20.298423754426782</v>
      </c>
    </row>
    <row r="274" spans="1:24" s="7" customFormat="1" x14ac:dyDescent="0.3">
      <c r="A274" t="s">
        <v>601</v>
      </c>
      <c r="B274" t="s">
        <v>602</v>
      </c>
      <c r="C274"/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 t="s">
        <v>618</v>
      </c>
      <c r="X274">
        <v>3303.3543</v>
      </c>
    </row>
    <row r="275" spans="1:24" s="7" customFormat="1" x14ac:dyDescent="0.3">
      <c r="A275" t="s">
        <v>601</v>
      </c>
      <c r="B275" t="s">
        <v>602</v>
      </c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 t="s">
        <v>619</v>
      </c>
      <c r="X275">
        <v>90.420299999999997</v>
      </c>
    </row>
    <row r="276" spans="1:24" s="7" customFormat="1" x14ac:dyDescent="0.3">
      <c r="A276" t="s">
        <v>601</v>
      </c>
      <c r="B276" t="s">
        <v>602</v>
      </c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 s="64" t="s">
        <v>620</v>
      </c>
      <c r="X276" s="64">
        <f>((X274-X275)/X274)*100</f>
        <v>97.262773175738388</v>
      </c>
    </row>
    <row r="277" spans="1:24" s="7" customFormat="1" x14ac:dyDescent="0.3">
      <c r="A277" t="s">
        <v>601</v>
      </c>
      <c r="B277" t="s">
        <v>602</v>
      </c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 t="s">
        <v>621</v>
      </c>
      <c r="X277">
        <v>2323.3616000000002</v>
      </c>
    </row>
    <row r="278" spans="1:24" s="7" customFormat="1" x14ac:dyDescent="0.3">
      <c r="A278" t="s">
        <v>601</v>
      </c>
      <c r="B278" t="s">
        <v>602</v>
      </c>
      <c r="C278"/>
      <c r="D278"/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  <c r="V278"/>
      <c r="W278" t="s">
        <v>622</v>
      </c>
      <c r="X278">
        <v>3621.0990999999999</v>
      </c>
    </row>
    <row r="279" spans="1:24" s="7" customFormat="1" x14ac:dyDescent="0.3">
      <c r="A279" t="s">
        <v>601</v>
      </c>
      <c r="B279" t="s">
        <v>602</v>
      </c>
      <c r="C279"/>
      <c r="D279"/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/>
      <c r="U279"/>
      <c r="V279"/>
      <c r="W279" s="64" t="s">
        <v>623</v>
      </c>
      <c r="X279" s="64">
        <f>((X277-X278)/X277)*100</f>
        <v>-55.856027748758507</v>
      </c>
    </row>
    <row r="280" spans="1:24" s="7" customFormat="1" x14ac:dyDescent="0.3">
      <c r="A280" t="s">
        <v>601</v>
      </c>
      <c r="B280" t="s">
        <v>602</v>
      </c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 t="s">
        <v>624</v>
      </c>
      <c r="X280">
        <v>46.205300000000001</v>
      </c>
    </row>
    <row r="281" spans="1:24" s="7" customFormat="1" x14ac:dyDescent="0.3">
      <c r="A281" t="s">
        <v>601</v>
      </c>
      <c r="B281" t="s">
        <v>602</v>
      </c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 t="s">
        <v>625</v>
      </c>
      <c r="X281">
        <v>2448.5704000000001</v>
      </c>
    </row>
    <row r="282" spans="1:24" s="7" customFormat="1" x14ac:dyDescent="0.3">
      <c r="A282" t="s">
        <v>601</v>
      </c>
      <c r="B282" t="s">
        <v>602</v>
      </c>
      <c r="C282"/>
      <c r="D282"/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  <c r="V282"/>
      <c r="W282" s="64" t="s">
        <v>626</v>
      </c>
      <c r="X282" s="64">
        <f>((X280-X281)/X280)*100</f>
        <v>-5199.327999168926</v>
      </c>
    </row>
    <row r="283" spans="1:24" s="7" customFormat="1" x14ac:dyDescent="0.3">
      <c r="A283" t="s">
        <v>601</v>
      </c>
      <c r="B283" t="s">
        <v>602</v>
      </c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 t="s">
        <v>627</v>
      </c>
      <c r="X283">
        <v>212.06479999999999</v>
      </c>
    </row>
    <row r="284" spans="1:24" s="7" customFormat="1" x14ac:dyDescent="0.3">
      <c r="A284" t="s">
        <v>601</v>
      </c>
      <c r="B284" t="s">
        <v>602</v>
      </c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 t="s">
        <v>628</v>
      </c>
      <c r="X284">
        <v>31.911999999999999</v>
      </c>
    </row>
    <row r="285" spans="1:24" s="7" customFormat="1" x14ac:dyDescent="0.3">
      <c r="A285" t="s">
        <v>601</v>
      </c>
      <c r="B285" t="s">
        <v>602</v>
      </c>
      <c r="C285"/>
      <c r="D285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  <c r="V285"/>
      <c r="W285" s="64" t="s">
        <v>629</v>
      </c>
      <c r="X285" s="64">
        <f>((X283-X284)/X283)*100</f>
        <v>84.951769459146448</v>
      </c>
    </row>
    <row r="286" spans="1:24" s="7" customFormat="1" x14ac:dyDescent="0.3">
      <c r="A286" t="s">
        <v>601</v>
      </c>
      <c r="B286" t="s">
        <v>602</v>
      </c>
      <c r="C286"/>
      <c r="D286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  <c r="W286" t="s">
        <v>631</v>
      </c>
      <c r="X286">
        <v>222.57220000000001</v>
      </c>
    </row>
    <row r="287" spans="1:24" s="7" customFormat="1" x14ac:dyDescent="0.3">
      <c r="A287" t="s">
        <v>601</v>
      </c>
      <c r="B287" t="s">
        <v>602</v>
      </c>
      <c r="C287"/>
      <c r="D287"/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  <c r="V287"/>
      <c r="W287" t="s">
        <v>630</v>
      </c>
      <c r="X287">
        <v>201.07759999999999</v>
      </c>
    </row>
    <row r="288" spans="1:24" s="7" customFormat="1" x14ac:dyDescent="0.3">
      <c r="A288" t="s">
        <v>601</v>
      </c>
      <c r="B288" t="s">
        <v>602</v>
      </c>
      <c r="C288"/>
      <c r="D288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  <c r="W288" s="64" t="s">
        <v>632</v>
      </c>
      <c r="X288" s="64">
        <f>((X286-X287)/X286)*100</f>
        <v>9.6573606227552311</v>
      </c>
    </row>
    <row r="289" spans="1:24" s="7" customFormat="1" x14ac:dyDescent="0.3">
      <c r="A289" t="s">
        <v>601</v>
      </c>
      <c r="B289" t="s">
        <v>602</v>
      </c>
      <c r="C289"/>
      <c r="D289"/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  <c r="V289"/>
      <c r="W289" t="s">
        <v>633</v>
      </c>
      <c r="X289">
        <f>X259+X262+X265+X268+X271+X274+X277+X280+X283+X286</f>
        <v>121341.33689999999</v>
      </c>
    </row>
    <row r="290" spans="1:24" s="7" customFormat="1" x14ac:dyDescent="0.3">
      <c r="A290" t="s">
        <v>601</v>
      </c>
      <c r="B290" t="s">
        <v>602</v>
      </c>
      <c r="C290"/>
      <c r="D290"/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  <c r="V290"/>
      <c r="W290" t="s">
        <v>634</v>
      </c>
      <c r="X290">
        <f>X260+X263+X266+X269+X272+X275+X278+X281+X284+X287</f>
        <v>119341.87849999999</v>
      </c>
    </row>
    <row r="291" spans="1:24" s="7" customFormat="1" x14ac:dyDescent="0.3">
      <c r="A291" t="s">
        <v>601</v>
      </c>
      <c r="B291" t="s">
        <v>602</v>
      </c>
      <c r="C291"/>
      <c r="D291"/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  <c r="V291"/>
      <c r="W291" s="64" t="s">
        <v>635</v>
      </c>
      <c r="X291" s="64">
        <f>((X289-X290)/X289)*100</f>
        <v>1.6477965803589258</v>
      </c>
    </row>
    <row r="292" spans="1:24" s="7" customFormat="1" x14ac:dyDescent="0.3">
      <c r="A292" t="s">
        <v>601</v>
      </c>
      <c r="B292" t="s">
        <v>602</v>
      </c>
      <c r="C292"/>
      <c r="D292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  <c r="V292"/>
      <c r="W292" t="s">
        <v>636</v>
      </c>
      <c r="X292">
        <v>5.44</v>
      </c>
    </row>
    <row r="293" spans="1:24" s="7" customFormat="1" x14ac:dyDescent="0.3">
      <c r="A293" t="s">
        <v>601</v>
      </c>
      <c r="B293" t="s">
        <v>602</v>
      </c>
      <c r="C293"/>
      <c r="D293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  <c r="V293"/>
      <c r="W293" t="s">
        <v>637</v>
      </c>
      <c r="X293">
        <v>0.75</v>
      </c>
    </row>
    <row r="294" spans="1:24" s="7" customFormat="1" x14ac:dyDescent="0.3">
      <c r="A294" t="s">
        <v>601</v>
      </c>
      <c r="B294" t="s">
        <v>602</v>
      </c>
      <c r="C294"/>
      <c r="D294"/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/>
      <c r="U294"/>
      <c r="V294"/>
      <c r="W294" t="s">
        <v>638</v>
      </c>
      <c r="X294">
        <v>2.83</v>
      </c>
    </row>
    <row r="295" spans="1:24" s="7" customFormat="1" x14ac:dyDescent="0.3">
      <c r="A295" t="s">
        <v>601</v>
      </c>
      <c r="B295" t="s">
        <v>602</v>
      </c>
      <c r="C295"/>
      <c r="D295"/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  <c r="V295"/>
      <c r="W295" t="s">
        <v>639</v>
      </c>
      <c r="X295">
        <v>0.63</v>
      </c>
    </row>
    <row r="296" spans="1:24" s="7" customFormat="1" x14ac:dyDescent="0.3">
      <c r="A296" t="s">
        <v>601</v>
      </c>
      <c r="B296" t="s">
        <v>602</v>
      </c>
      <c r="C296"/>
      <c r="D296"/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/>
      <c r="U296"/>
      <c r="V296"/>
      <c r="W296" t="s">
        <v>640</v>
      </c>
      <c r="X296">
        <v>10.25</v>
      </c>
    </row>
    <row r="297" spans="1:24" s="7" customFormat="1" x14ac:dyDescent="0.3">
      <c r="A297" t="s">
        <v>601</v>
      </c>
      <c r="B297" t="s">
        <v>602</v>
      </c>
      <c r="C297"/>
      <c r="D297"/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/>
      <c r="U297"/>
      <c r="V297"/>
      <c r="W297" t="s">
        <v>641</v>
      </c>
      <c r="X297">
        <v>0.02</v>
      </c>
    </row>
    <row r="298" spans="1:24" s="7" customFormat="1" x14ac:dyDescent="0.3">
      <c r="A298" t="s">
        <v>601</v>
      </c>
      <c r="B298" t="s">
        <v>602</v>
      </c>
      <c r="C298"/>
      <c r="D298"/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  <c r="V298"/>
      <c r="W298" t="s">
        <v>642</v>
      </c>
      <c r="X298">
        <v>10.130000000000001</v>
      </c>
    </row>
    <row r="299" spans="1:24" s="7" customFormat="1" x14ac:dyDescent="0.3">
      <c r="A299" t="s">
        <v>601</v>
      </c>
      <c r="B299" t="s">
        <v>602</v>
      </c>
      <c r="C299"/>
      <c r="D299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  <c r="W299" t="s">
        <v>643</v>
      </c>
      <c r="X299">
        <v>0.15</v>
      </c>
    </row>
    <row r="300" spans="1:24" s="7" customFormat="1" x14ac:dyDescent="0.3">
      <c r="A300" t="s">
        <v>601</v>
      </c>
      <c r="B300" t="s">
        <v>602</v>
      </c>
      <c r="C300" s="64"/>
      <c r="D300" s="64"/>
      <c r="E300" s="64"/>
      <c r="F300" s="64"/>
      <c r="G300" s="64"/>
      <c r="H300" s="64"/>
      <c r="I300" s="64"/>
      <c r="J300" s="64"/>
      <c r="K300" s="64"/>
      <c r="L300" s="64"/>
      <c r="M300" s="64"/>
      <c r="N300" s="64"/>
      <c r="O300" s="64"/>
      <c r="P300" s="64"/>
      <c r="Q300" s="64"/>
      <c r="R300" s="64"/>
      <c r="S300" s="64"/>
      <c r="T300" s="64"/>
      <c r="U300" s="64"/>
      <c r="V300" s="64"/>
      <c r="W300" s="64" t="s">
        <v>644</v>
      </c>
      <c r="X300" s="65">
        <f>SUM(X292:X299)</f>
        <v>30.199999999999996</v>
      </c>
    </row>
    <row r="301" spans="1:24" s="7" customFormat="1" x14ac:dyDescent="0.3">
      <c r="A301" t="s">
        <v>601</v>
      </c>
      <c r="B301" t="s">
        <v>602</v>
      </c>
      <c r="C301"/>
      <c r="D301"/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 t="s">
        <v>645</v>
      </c>
      <c r="X301">
        <v>6.34</v>
      </c>
    </row>
    <row r="302" spans="1:24" s="7" customFormat="1" x14ac:dyDescent="0.3">
      <c r="A302" t="s">
        <v>601</v>
      </c>
      <c r="B302" t="s">
        <v>602</v>
      </c>
      <c r="C302"/>
      <c r="D302"/>
      <c r="E302"/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  <c r="U302"/>
      <c r="V302"/>
      <c r="W302" t="s">
        <v>646</v>
      </c>
      <c r="X302">
        <v>0.65</v>
      </c>
    </row>
    <row r="303" spans="1:24" s="7" customFormat="1" x14ac:dyDescent="0.3">
      <c r="A303" t="s">
        <v>601</v>
      </c>
      <c r="B303" t="s">
        <v>602</v>
      </c>
      <c r="C303"/>
      <c r="D303"/>
      <c r="E303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  <c r="V303"/>
      <c r="W303" t="s">
        <v>647</v>
      </c>
      <c r="X303">
        <v>2.88</v>
      </c>
    </row>
    <row r="304" spans="1:24" s="7" customFormat="1" x14ac:dyDescent="0.3">
      <c r="A304" t="s">
        <v>601</v>
      </c>
      <c r="B304" t="s">
        <v>602</v>
      </c>
      <c r="C304"/>
      <c r="D304"/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  <c r="V304"/>
      <c r="W304" t="s">
        <v>648</v>
      </c>
      <c r="X304">
        <v>0.76</v>
      </c>
    </row>
    <row r="305" spans="1:24" s="7" customFormat="1" x14ac:dyDescent="0.3">
      <c r="A305" t="s">
        <v>601</v>
      </c>
      <c r="B305" t="s">
        <v>602</v>
      </c>
      <c r="C305"/>
      <c r="D305"/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W305" t="s">
        <v>649</v>
      </c>
      <c r="X305">
        <v>10.8</v>
      </c>
    </row>
    <row r="306" spans="1:24" s="7" customFormat="1" x14ac:dyDescent="0.3">
      <c r="A306" t="s">
        <v>601</v>
      </c>
      <c r="B306" t="s">
        <v>602</v>
      </c>
      <c r="C306"/>
      <c r="D306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 t="s">
        <v>650</v>
      </c>
      <c r="X306">
        <v>0.02</v>
      </c>
    </row>
    <row r="307" spans="1:24" s="7" customFormat="1" x14ac:dyDescent="0.3">
      <c r="A307" t="s">
        <v>601</v>
      </c>
      <c r="B307" t="s">
        <v>602</v>
      </c>
      <c r="C307"/>
      <c r="D307"/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W307" t="s">
        <v>651</v>
      </c>
      <c r="X307">
        <v>5.89</v>
      </c>
    </row>
    <row r="308" spans="1:24" s="7" customFormat="1" x14ac:dyDescent="0.3">
      <c r="A308" t="s">
        <v>601</v>
      </c>
      <c r="B308" t="s">
        <v>602</v>
      </c>
      <c r="C308"/>
      <c r="D308"/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 t="s">
        <v>652</v>
      </c>
      <c r="X308">
        <v>0.23</v>
      </c>
    </row>
    <row r="309" spans="1:24" s="7" customFormat="1" x14ac:dyDescent="0.3">
      <c r="A309" t="s">
        <v>601</v>
      </c>
      <c r="B309" t="s">
        <v>602</v>
      </c>
      <c r="C309"/>
      <c r="D309"/>
      <c r="E30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  <c r="V309"/>
      <c r="W309" s="64" t="s">
        <v>653</v>
      </c>
      <c r="X309" s="65">
        <f>SUM(X301:X308)</f>
        <v>27.57</v>
      </c>
    </row>
    <row r="310" spans="1:24" s="7" customFormat="1" x14ac:dyDescent="0.3">
      <c r="A310" t="s">
        <v>601</v>
      </c>
      <c r="B310" t="s">
        <v>602</v>
      </c>
      <c r="C310"/>
      <c r="D310"/>
      <c r="E310"/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/>
      <c r="U310"/>
      <c r="V310"/>
      <c r="W310" t="s">
        <v>654</v>
      </c>
      <c r="X310">
        <v>6.19</v>
      </c>
    </row>
    <row r="311" spans="1:24" s="7" customFormat="1" x14ac:dyDescent="0.3">
      <c r="A311" t="s">
        <v>601</v>
      </c>
      <c r="B311" t="s">
        <v>602</v>
      </c>
      <c r="C311"/>
      <c r="D311"/>
      <c r="E311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  <c r="V311"/>
      <c r="W311" t="s">
        <v>655</v>
      </c>
      <c r="X311">
        <v>0.77</v>
      </c>
    </row>
    <row r="312" spans="1:24" s="7" customFormat="1" x14ac:dyDescent="0.3">
      <c r="A312" t="s">
        <v>601</v>
      </c>
      <c r="B312" t="s">
        <v>602</v>
      </c>
      <c r="C312"/>
      <c r="D312"/>
      <c r="E312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  <c r="V312"/>
      <c r="W312" t="s">
        <v>656</v>
      </c>
      <c r="X312">
        <v>2.81</v>
      </c>
    </row>
    <row r="313" spans="1:24" s="7" customFormat="1" x14ac:dyDescent="0.3">
      <c r="A313" t="s">
        <v>601</v>
      </c>
      <c r="B313" t="s">
        <v>602</v>
      </c>
      <c r="C313"/>
      <c r="D313"/>
      <c r="E313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  <c r="V313"/>
      <c r="W313" t="s">
        <v>657</v>
      </c>
      <c r="X313">
        <v>0.96</v>
      </c>
    </row>
    <row r="314" spans="1:24" s="7" customFormat="1" x14ac:dyDescent="0.3">
      <c r="A314" t="s">
        <v>601</v>
      </c>
      <c r="B314" t="s">
        <v>602</v>
      </c>
      <c r="C314"/>
      <c r="D314"/>
      <c r="E314"/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  <c r="V314"/>
      <c r="W314" t="s">
        <v>658</v>
      </c>
      <c r="X314">
        <v>11.25</v>
      </c>
    </row>
    <row r="315" spans="1:24" s="7" customFormat="1" x14ac:dyDescent="0.3">
      <c r="A315" t="s">
        <v>601</v>
      </c>
      <c r="B315" t="s">
        <v>602</v>
      </c>
      <c r="C315"/>
      <c r="D315"/>
      <c r="E315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  <c r="V315"/>
      <c r="W315" t="s">
        <v>659</v>
      </c>
      <c r="X315">
        <v>0</v>
      </c>
    </row>
    <row r="316" spans="1:24" s="7" customFormat="1" x14ac:dyDescent="0.3">
      <c r="A316" t="s">
        <v>601</v>
      </c>
      <c r="B316" t="s">
        <v>602</v>
      </c>
      <c r="C316"/>
      <c r="D316"/>
      <c r="E316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  <c r="V316"/>
      <c r="W316" t="s">
        <v>660</v>
      </c>
      <c r="X316">
        <v>7.28</v>
      </c>
    </row>
    <row r="317" spans="1:24" s="7" customFormat="1" x14ac:dyDescent="0.3">
      <c r="A317" t="s">
        <v>601</v>
      </c>
      <c r="B317" t="s">
        <v>602</v>
      </c>
      <c r="C317"/>
      <c r="D317"/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  <c r="V317"/>
      <c r="W317" t="s">
        <v>661</v>
      </c>
      <c r="X317">
        <v>0.27</v>
      </c>
    </row>
    <row r="318" spans="1:24" s="7" customFormat="1" x14ac:dyDescent="0.3">
      <c r="A318" t="s">
        <v>601</v>
      </c>
      <c r="B318" t="s">
        <v>602</v>
      </c>
      <c r="C318"/>
      <c r="D318"/>
      <c r="E318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  <c r="V318"/>
      <c r="W318" s="64" t="s">
        <v>662</v>
      </c>
      <c r="X318" s="65">
        <f>SUM(X310:X317)</f>
        <v>29.53</v>
      </c>
    </row>
    <row r="319" spans="1:24" s="7" customFormat="1" x14ac:dyDescent="0.3">
      <c r="A319" t="s">
        <v>601</v>
      </c>
      <c r="B319" t="s">
        <v>602</v>
      </c>
      <c r="C319"/>
      <c r="D319"/>
      <c r="E319"/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/>
      <c r="U319"/>
      <c r="V319"/>
      <c r="W319" t="s">
        <v>663</v>
      </c>
      <c r="X319">
        <v>6.3</v>
      </c>
    </row>
    <row r="320" spans="1:24" s="7" customFormat="1" x14ac:dyDescent="0.3">
      <c r="A320" t="s">
        <v>601</v>
      </c>
      <c r="B320" t="s">
        <v>602</v>
      </c>
      <c r="C320"/>
      <c r="D320"/>
      <c r="E320"/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  <c r="V320"/>
      <c r="W320" t="s">
        <v>664</v>
      </c>
      <c r="X320">
        <v>0.75</v>
      </c>
    </row>
    <row r="321" spans="1:24" s="7" customFormat="1" x14ac:dyDescent="0.3">
      <c r="A321" t="s">
        <v>601</v>
      </c>
      <c r="B321" t="s">
        <v>602</v>
      </c>
      <c r="C321"/>
      <c r="D321"/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 t="s">
        <v>665</v>
      </c>
      <c r="X321">
        <v>2.69</v>
      </c>
    </row>
    <row r="322" spans="1:24" s="7" customFormat="1" x14ac:dyDescent="0.3">
      <c r="A322" t="s">
        <v>601</v>
      </c>
      <c r="B322" t="s">
        <v>602</v>
      </c>
      <c r="C322"/>
      <c r="D322"/>
      <c r="E322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  <c r="V322"/>
      <c r="W322" t="s">
        <v>666</v>
      </c>
      <c r="X322">
        <v>1.04</v>
      </c>
    </row>
    <row r="323" spans="1:24" s="7" customFormat="1" x14ac:dyDescent="0.3">
      <c r="A323" t="s">
        <v>601</v>
      </c>
      <c r="B323" t="s">
        <v>602</v>
      </c>
      <c r="C323"/>
      <c r="D323"/>
      <c r="E323"/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/>
      <c r="U323"/>
      <c r="V323"/>
      <c r="W323" t="s">
        <v>667</v>
      </c>
      <c r="X323">
        <v>11.29</v>
      </c>
    </row>
    <row r="324" spans="1:24" s="7" customFormat="1" x14ac:dyDescent="0.3">
      <c r="A324" t="s">
        <v>601</v>
      </c>
      <c r="B324" t="s">
        <v>602</v>
      </c>
      <c r="C324"/>
      <c r="D324"/>
      <c r="E324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  <c r="V324"/>
      <c r="W324" t="s">
        <v>668</v>
      </c>
      <c r="X324">
        <v>0</v>
      </c>
    </row>
    <row r="325" spans="1:24" s="7" customFormat="1" x14ac:dyDescent="0.3">
      <c r="A325" t="s">
        <v>601</v>
      </c>
      <c r="B325" t="s">
        <v>602</v>
      </c>
      <c r="C325"/>
      <c r="D325"/>
      <c r="E325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  <c r="W325" t="s">
        <v>669</v>
      </c>
      <c r="X325">
        <v>10.71</v>
      </c>
    </row>
    <row r="326" spans="1:24" s="7" customFormat="1" x14ac:dyDescent="0.3">
      <c r="A326" t="s">
        <v>601</v>
      </c>
      <c r="B326" t="s">
        <v>602</v>
      </c>
      <c r="C326"/>
      <c r="D326"/>
      <c r="E326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  <c r="V326"/>
      <c r="W326" t="s">
        <v>670</v>
      </c>
      <c r="X326">
        <v>0.27</v>
      </c>
    </row>
    <row r="327" spans="1:24" s="7" customFormat="1" x14ac:dyDescent="0.3">
      <c r="A327" t="s">
        <v>601</v>
      </c>
      <c r="B327" t="s">
        <v>602</v>
      </c>
      <c r="C327"/>
      <c r="D327"/>
      <c r="E327"/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  <c r="V327"/>
      <c r="W327" s="64" t="s">
        <v>671</v>
      </c>
      <c r="X327" s="65">
        <f>SUM(X319:X326)</f>
        <v>33.050000000000004</v>
      </c>
    </row>
    <row r="328" spans="1:24" s="7" customFormat="1" x14ac:dyDescent="0.3">
      <c r="A328" t="s">
        <v>601</v>
      </c>
      <c r="B328" t="s">
        <v>602</v>
      </c>
      <c r="C328"/>
      <c r="D328"/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  <c r="V328"/>
      <c r="W328" t="s">
        <v>672</v>
      </c>
      <c r="X328">
        <v>6.48</v>
      </c>
    </row>
    <row r="329" spans="1:24" s="7" customFormat="1" x14ac:dyDescent="0.3">
      <c r="A329" t="s">
        <v>601</v>
      </c>
      <c r="B329" t="s">
        <v>602</v>
      </c>
      <c r="C329"/>
      <c r="D329"/>
      <c r="E329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  <c r="V329"/>
      <c r="W329" t="s">
        <v>673</v>
      </c>
      <c r="X329">
        <v>0.63</v>
      </c>
    </row>
    <row r="330" spans="1:24" s="7" customFormat="1" x14ac:dyDescent="0.3">
      <c r="A330" t="s">
        <v>601</v>
      </c>
      <c r="B330" t="s">
        <v>602</v>
      </c>
      <c r="C330"/>
      <c r="D330"/>
      <c r="E330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  <c r="U330"/>
      <c r="V330"/>
      <c r="W330" t="s">
        <v>674</v>
      </c>
      <c r="X330">
        <v>2.41</v>
      </c>
    </row>
    <row r="331" spans="1:24" s="7" customFormat="1" x14ac:dyDescent="0.3">
      <c r="A331" t="s">
        <v>601</v>
      </c>
      <c r="B331" t="s">
        <v>602</v>
      </c>
      <c r="C331"/>
      <c r="D331"/>
      <c r="E331"/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  <c r="U331"/>
      <c r="V331"/>
      <c r="W331" t="s">
        <v>675</v>
      </c>
      <c r="X331">
        <v>1.08</v>
      </c>
    </row>
    <row r="332" spans="1:24" s="7" customFormat="1" x14ac:dyDescent="0.3">
      <c r="A332" t="s">
        <v>601</v>
      </c>
      <c r="B332" t="s">
        <v>602</v>
      </c>
      <c r="C332"/>
      <c r="D332"/>
      <c r="E332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  <c r="V332"/>
      <c r="W332" t="s">
        <v>676</v>
      </c>
      <c r="X332">
        <v>11.17</v>
      </c>
    </row>
    <row r="333" spans="1:24" s="7" customFormat="1" x14ac:dyDescent="0.3">
      <c r="A333" t="s">
        <v>601</v>
      </c>
      <c r="B333" t="s">
        <v>602</v>
      </c>
      <c r="C333"/>
      <c r="D333"/>
      <c r="E333"/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  <c r="V333"/>
      <c r="W333" t="s">
        <v>677</v>
      </c>
      <c r="X333">
        <v>0</v>
      </c>
    </row>
    <row r="334" spans="1:24" s="7" customFormat="1" x14ac:dyDescent="0.3">
      <c r="A334" t="s">
        <v>601</v>
      </c>
      <c r="B334" t="s">
        <v>602</v>
      </c>
      <c r="C334"/>
      <c r="D334"/>
      <c r="E334"/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  <c r="V334"/>
      <c r="W334" t="s">
        <v>678</v>
      </c>
      <c r="X334">
        <v>11.67</v>
      </c>
    </row>
    <row r="335" spans="1:24" s="7" customFormat="1" x14ac:dyDescent="0.3">
      <c r="A335" t="s">
        <v>601</v>
      </c>
      <c r="B335" t="s">
        <v>602</v>
      </c>
      <c r="C335"/>
      <c r="D335"/>
      <c r="E335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  <c r="V335"/>
      <c r="W335" t="s">
        <v>679</v>
      </c>
      <c r="X335">
        <v>0.28999999999999998</v>
      </c>
    </row>
    <row r="336" spans="1:24" s="7" customFormat="1" x14ac:dyDescent="0.3">
      <c r="A336" t="s">
        <v>601</v>
      </c>
      <c r="B336" t="s">
        <v>602</v>
      </c>
      <c r="C336"/>
      <c r="D336"/>
      <c r="E336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  <c r="V336"/>
      <c r="W336" s="64" t="s">
        <v>680</v>
      </c>
      <c r="X336" s="65">
        <f>SUM(X328:X335)</f>
        <v>33.729999999999997</v>
      </c>
    </row>
    <row r="337" spans="1:24" s="7" customFormat="1" x14ac:dyDescent="0.3">
      <c r="A337" t="s">
        <v>601</v>
      </c>
      <c r="B337" t="s">
        <v>602</v>
      </c>
      <c r="C337"/>
      <c r="D337"/>
      <c r="E337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  <c r="V337"/>
      <c r="W337" t="s">
        <v>681</v>
      </c>
      <c r="X337">
        <v>6.35</v>
      </c>
    </row>
    <row r="338" spans="1:24" s="7" customFormat="1" x14ac:dyDescent="0.3">
      <c r="A338" t="s">
        <v>601</v>
      </c>
      <c r="B338" t="s">
        <v>602</v>
      </c>
      <c r="C338"/>
      <c r="D338"/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  <c r="V338"/>
      <c r="W338" t="s">
        <v>682</v>
      </c>
      <c r="X338">
        <v>0.6</v>
      </c>
    </row>
    <row r="339" spans="1:24" s="7" customFormat="1" x14ac:dyDescent="0.3">
      <c r="A339" t="s">
        <v>601</v>
      </c>
      <c r="B339" t="s">
        <v>602</v>
      </c>
      <c r="C339"/>
      <c r="D339"/>
      <c r="E339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  <c r="V339"/>
      <c r="W339" t="s">
        <v>683</v>
      </c>
      <c r="X339">
        <v>2.5299999999999998</v>
      </c>
    </row>
    <row r="340" spans="1:24" s="7" customFormat="1" x14ac:dyDescent="0.3">
      <c r="A340" t="s">
        <v>601</v>
      </c>
      <c r="B340" t="s">
        <v>602</v>
      </c>
      <c r="C340"/>
      <c r="D340"/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/>
      <c r="W340" t="s">
        <v>684</v>
      </c>
      <c r="X340">
        <v>1.08</v>
      </c>
    </row>
    <row r="341" spans="1:24" s="7" customFormat="1" x14ac:dyDescent="0.3">
      <c r="A341" t="s">
        <v>601</v>
      </c>
      <c r="B341" t="s">
        <v>602</v>
      </c>
      <c r="C341"/>
      <c r="D341"/>
      <c r="E341"/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  <c r="V341"/>
      <c r="W341" t="s">
        <v>685</v>
      </c>
      <c r="X341">
        <v>11.1</v>
      </c>
    </row>
    <row r="342" spans="1:24" s="7" customFormat="1" x14ac:dyDescent="0.3">
      <c r="A342" t="s">
        <v>601</v>
      </c>
      <c r="B342" t="s">
        <v>602</v>
      </c>
      <c r="C342"/>
      <c r="D342"/>
      <c r="E342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  <c r="V342"/>
      <c r="W342" t="s">
        <v>686</v>
      </c>
      <c r="X342">
        <v>0.05</v>
      </c>
    </row>
    <row r="343" spans="1:24" s="7" customFormat="1" x14ac:dyDescent="0.3">
      <c r="A343" t="s">
        <v>601</v>
      </c>
      <c r="B343" t="s">
        <v>602</v>
      </c>
      <c r="C343"/>
      <c r="D343"/>
      <c r="E343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  <c r="V343"/>
      <c r="W343" t="s">
        <v>687</v>
      </c>
      <c r="X343">
        <v>14.67</v>
      </c>
    </row>
    <row r="344" spans="1:24" s="7" customFormat="1" x14ac:dyDescent="0.3">
      <c r="A344" t="s">
        <v>601</v>
      </c>
      <c r="B344" t="s">
        <v>602</v>
      </c>
      <c r="C344"/>
      <c r="D344"/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  <c r="V344"/>
      <c r="W344" t="s">
        <v>688</v>
      </c>
      <c r="X344">
        <v>0.33</v>
      </c>
    </row>
    <row r="345" spans="1:24" s="7" customFormat="1" x14ac:dyDescent="0.3">
      <c r="A345" t="s">
        <v>601</v>
      </c>
      <c r="B345" t="s">
        <v>602</v>
      </c>
      <c r="C345"/>
      <c r="D345"/>
      <c r="E345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  <c r="V345"/>
      <c r="W345" s="64" t="s">
        <v>689</v>
      </c>
      <c r="X345" s="65">
        <f>SUM(X337:X344)</f>
        <v>36.709999999999994</v>
      </c>
    </row>
    <row r="346" spans="1:24" s="7" customFormat="1" x14ac:dyDescent="0.3">
      <c r="A346" t="s">
        <v>601</v>
      </c>
      <c r="B346" t="s">
        <v>602</v>
      </c>
      <c r="C346"/>
      <c r="D346"/>
      <c r="E346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  <c r="V346"/>
      <c r="W346" t="s">
        <v>690</v>
      </c>
      <c r="X346">
        <v>6.55</v>
      </c>
    </row>
    <row r="347" spans="1:24" s="7" customFormat="1" x14ac:dyDescent="0.3">
      <c r="A347" t="s">
        <v>601</v>
      </c>
      <c r="B347" t="s">
        <v>602</v>
      </c>
      <c r="C347"/>
      <c r="D347"/>
      <c r="E347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  <c r="V347"/>
      <c r="W347" t="s">
        <v>691</v>
      </c>
      <c r="X347">
        <v>0.56999999999999995</v>
      </c>
    </row>
    <row r="348" spans="1:24" s="7" customFormat="1" x14ac:dyDescent="0.3">
      <c r="A348" t="s">
        <v>601</v>
      </c>
      <c r="B348" t="s">
        <v>602</v>
      </c>
      <c r="C348"/>
      <c r="D348"/>
      <c r="E348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  <c r="V348"/>
      <c r="W348" t="s">
        <v>692</v>
      </c>
      <c r="X348">
        <v>3.11</v>
      </c>
    </row>
    <row r="349" spans="1:24" s="7" customFormat="1" x14ac:dyDescent="0.3">
      <c r="A349" t="s">
        <v>601</v>
      </c>
      <c r="B349" t="s">
        <v>602</v>
      </c>
      <c r="C349"/>
      <c r="D349"/>
      <c r="E34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  <c r="V349"/>
      <c r="W349" t="s">
        <v>693</v>
      </c>
      <c r="X349">
        <v>1.0900000000000001</v>
      </c>
    </row>
    <row r="350" spans="1:24" s="7" customFormat="1" x14ac:dyDescent="0.3">
      <c r="A350" t="s">
        <v>601</v>
      </c>
      <c r="B350" t="s">
        <v>602</v>
      </c>
      <c r="C350"/>
      <c r="D350"/>
      <c r="E350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  <c r="V350"/>
      <c r="W350" t="s">
        <v>694</v>
      </c>
      <c r="X350">
        <v>10.62</v>
      </c>
    </row>
    <row r="351" spans="1:24" s="7" customFormat="1" x14ac:dyDescent="0.3">
      <c r="A351" t="s">
        <v>601</v>
      </c>
      <c r="B351" t="s">
        <v>602</v>
      </c>
      <c r="C351"/>
      <c r="D351"/>
      <c r="E351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  <c r="V351"/>
      <c r="W351" t="s">
        <v>695</v>
      </c>
      <c r="X351">
        <v>0.14000000000000001</v>
      </c>
    </row>
    <row r="352" spans="1:24" s="7" customFormat="1" x14ac:dyDescent="0.3">
      <c r="A352" t="s">
        <v>601</v>
      </c>
      <c r="B352" t="s">
        <v>602</v>
      </c>
      <c r="C352"/>
      <c r="D352"/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/>
      <c r="W352" t="s">
        <v>696</v>
      </c>
      <c r="X352">
        <v>12.6</v>
      </c>
    </row>
    <row r="353" spans="1:24" s="7" customFormat="1" x14ac:dyDescent="0.3">
      <c r="A353" t="s">
        <v>601</v>
      </c>
      <c r="B353" t="s">
        <v>602</v>
      </c>
      <c r="C353"/>
      <c r="D353"/>
      <c r="E353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  <c r="U353"/>
      <c r="V353"/>
      <c r="W353" t="s">
        <v>697</v>
      </c>
      <c r="X353">
        <v>0.34</v>
      </c>
    </row>
    <row r="354" spans="1:24" s="7" customFormat="1" x14ac:dyDescent="0.3">
      <c r="A354" t="s">
        <v>601</v>
      </c>
      <c r="B354" t="s">
        <v>602</v>
      </c>
      <c r="C354"/>
      <c r="D354"/>
      <c r="E354"/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  <c r="T354"/>
      <c r="U354"/>
      <c r="V354"/>
      <c r="W354" s="64" t="s">
        <v>698</v>
      </c>
      <c r="X354" s="65">
        <f>SUM(X346:X353)</f>
        <v>35.020000000000003</v>
      </c>
    </row>
    <row r="355" spans="1:24" s="7" customFormat="1" x14ac:dyDescent="0.3">
      <c r="A355" t="s">
        <v>601</v>
      </c>
      <c r="B355" t="s">
        <v>602</v>
      </c>
      <c r="C355"/>
      <c r="D355"/>
      <c r="E355"/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/>
      <c r="U355"/>
      <c r="V355"/>
      <c r="W355" t="s">
        <v>699</v>
      </c>
      <c r="X355">
        <v>6.63</v>
      </c>
    </row>
    <row r="356" spans="1:24" s="7" customFormat="1" x14ac:dyDescent="0.3">
      <c r="A356" t="s">
        <v>601</v>
      </c>
      <c r="B356" t="s">
        <v>602</v>
      </c>
      <c r="C356"/>
      <c r="D356"/>
      <c r="E356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  <c r="V356"/>
      <c r="W356" t="s">
        <v>700</v>
      </c>
      <c r="X356">
        <v>0.56999999999999995</v>
      </c>
    </row>
    <row r="357" spans="1:24" s="7" customFormat="1" x14ac:dyDescent="0.3">
      <c r="A357" t="s">
        <v>601</v>
      </c>
      <c r="B357" t="s">
        <v>602</v>
      </c>
      <c r="C357"/>
      <c r="D357"/>
      <c r="E357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  <c r="U357"/>
      <c r="V357"/>
      <c r="W357" t="s">
        <v>701</v>
      </c>
      <c r="X357">
        <v>3.96</v>
      </c>
    </row>
    <row r="358" spans="1:24" s="7" customFormat="1" x14ac:dyDescent="0.3">
      <c r="A358" t="s">
        <v>601</v>
      </c>
      <c r="B358" t="s">
        <v>602</v>
      </c>
      <c r="C358"/>
      <c r="D358"/>
      <c r="E358"/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/>
      <c r="U358"/>
      <c r="V358"/>
      <c r="W358" t="s">
        <v>702</v>
      </c>
      <c r="X358">
        <v>1.25</v>
      </c>
    </row>
    <row r="359" spans="1:24" s="7" customFormat="1" x14ac:dyDescent="0.3">
      <c r="A359" t="s">
        <v>601</v>
      </c>
      <c r="B359" t="s">
        <v>602</v>
      </c>
      <c r="C359"/>
      <c r="D359"/>
      <c r="E359"/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  <c r="T359"/>
      <c r="U359"/>
      <c r="V359"/>
      <c r="W359" t="s">
        <v>703</v>
      </c>
      <c r="X359">
        <v>10.4</v>
      </c>
    </row>
    <row r="360" spans="1:24" s="7" customFormat="1" x14ac:dyDescent="0.3">
      <c r="A360" t="s">
        <v>601</v>
      </c>
      <c r="B360" t="s">
        <v>602</v>
      </c>
      <c r="C360"/>
      <c r="D360"/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  <c r="V360"/>
      <c r="W360" t="s">
        <v>704</v>
      </c>
      <c r="X360">
        <v>0.14000000000000001</v>
      </c>
    </row>
    <row r="361" spans="1:24" s="7" customFormat="1" x14ac:dyDescent="0.3">
      <c r="A361" t="s">
        <v>601</v>
      </c>
      <c r="B361" t="s">
        <v>602</v>
      </c>
      <c r="C361"/>
      <c r="D361"/>
      <c r="E361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  <c r="V361"/>
      <c r="W361" t="s">
        <v>705</v>
      </c>
      <c r="X361">
        <v>5.53</v>
      </c>
    </row>
    <row r="362" spans="1:24" s="7" customFormat="1" x14ac:dyDescent="0.3">
      <c r="A362" t="s">
        <v>601</v>
      </c>
      <c r="B362" t="s">
        <v>602</v>
      </c>
      <c r="C362"/>
      <c r="D362"/>
      <c r="E362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  <c r="U362"/>
      <c r="V362"/>
      <c r="W362" t="s">
        <v>706</v>
      </c>
      <c r="X362">
        <v>0.26</v>
      </c>
    </row>
    <row r="363" spans="1:24" s="7" customFormat="1" x14ac:dyDescent="0.3">
      <c r="A363" t="s">
        <v>601</v>
      </c>
      <c r="B363" t="s">
        <v>602</v>
      </c>
      <c r="C363"/>
      <c r="D363"/>
      <c r="E363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  <c r="U363"/>
      <c r="V363"/>
      <c r="W363" s="64" t="s">
        <v>707</v>
      </c>
      <c r="X363" s="65">
        <f>SUM(X355:X362)</f>
        <v>28.740000000000006</v>
      </c>
    </row>
    <row r="364" spans="1:24" s="7" customFormat="1" x14ac:dyDescent="0.3">
      <c r="A364" t="s">
        <v>601</v>
      </c>
      <c r="B364" t="s">
        <v>602</v>
      </c>
      <c r="C364"/>
      <c r="D364"/>
      <c r="E364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  <c r="V364"/>
      <c r="W364" t="s">
        <v>708</v>
      </c>
      <c r="X364">
        <v>6.66</v>
      </c>
    </row>
    <row r="365" spans="1:24" s="7" customFormat="1" x14ac:dyDescent="0.3">
      <c r="A365" t="s">
        <v>601</v>
      </c>
      <c r="B365" t="s">
        <v>602</v>
      </c>
      <c r="C365"/>
      <c r="D365"/>
      <c r="E365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  <c r="V365"/>
      <c r="W365" t="s">
        <v>709</v>
      </c>
      <c r="X365">
        <v>0.64</v>
      </c>
    </row>
    <row r="366" spans="1:24" s="7" customFormat="1" x14ac:dyDescent="0.3">
      <c r="A366" t="s">
        <v>601</v>
      </c>
      <c r="B366" t="s">
        <v>602</v>
      </c>
      <c r="C366"/>
      <c r="D366"/>
      <c r="E366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  <c r="V366"/>
      <c r="W366" t="s">
        <v>710</v>
      </c>
      <c r="X366">
        <v>4.26</v>
      </c>
    </row>
    <row r="367" spans="1:24" s="7" customFormat="1" x14ac:dyDescent="0.3">
      <c r="A367" t="s">
        <v>601</v>
      </c>
      <c r="B367" t="s">
        <v>602</v>
      </c>
      <c r="C367"/>
      <c r="D367"/>
      <c r="E367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  <c r="V367"/>
      <c r="W367" t="s">
        <v>711</v>
      </c>
      <c r="X367">
        <v>1.26</v>
      </c>
    </row>
    <row r="368" spans="1:24" s="7" customFormat="1" x14ac:dyDescent="0.3">
      <c r="A368" t="s">
        <v>601</v>
      </c>
      <c r="B368" t="s">
        <v>602</v>
      </c>
      <c r="C368"/>
      <c r="D368"/>
      <c r="E368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  <c r="U368"/>
      <c r="V368"/>
      <c r="W368" t="s">
        <v>712</v>
      </c>
      <c r="X368">
        <v>10.5</v>
      </c>
    </row>
    <row r="369" spans="1:24" s="7" customFormat="1" x14ac:dyDescent="0.3">
      <c r="A369" t="s">
        <v>601</v>
      </c>
      <c r="B369" t="s">
        <v>602</v>
      </c>
      <c r="C369"/>
      <c r="D369"/>
      <c r="E369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  <c r="V369"/>
      <c r="W369" t="s">
        <v>713</v>
      </c>
      <c r="X369">
        <v>0.15</v>
      </c>
    </row>
    <row r="370" spans="1:24" s="7" customFormat="1" x14ac:dyDescent="0.3">
      <c r="A370" t="s">
        <v>601</v>
      </c>
      <c r="B370" t="s">
        <v>602</v>
      </c>
      <c r="C370"/>
      <c r="D370"/>
      <c r="E370"/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  <c r="U370"/>
      <c r="V370"/>
      <c r="W370" t="s">
        <v>714</v>
      </c>
      <c r="X370">
        <v>7.38</v>
      </c>
    </row>
    <row r="371" spans="1:24" s="7" customFormat="1" x14ac:dyDescent="0.3">
      <c r="A371" t="s">
        <v>601</v>
      </c>
      <c r="B371" t="s">
        <v>602</v>
      </c>
      <c r="C371"/>
      <c r="D371"/>
      <c r="E371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  <c r="U371"/>
      <c r="V371"/>
      <c r="W371" t="s">
        <v>715</v>
      </c>
      <c r="X371">
        <v>0.33</v>
      </c>
    </row>
    <row r="372" spans="1:24" s="7" customFormat="1" x14ac:dyDescent="0.3">
      <c r="A372" t="s">
        <v>601</v>
      </c>
      <c r="B372" t="s">
        <v>602</v>
      </c>
      <c r="C372"/>
      <c r="D372"/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  <c r="V372"/>
      <c r="W372" s="64" t="s">
        <v>716</v>
      </c>
      <c r="X372" s="65">
        <f>SUM(X364:X371)</f>
        <v>31.179999999999996</v>
      </c>
    </row>
    <row r="373" spans="1:24" s="7" customFormat="1" x14ac:dyDescent="0.3">
      <c r="A373" t="s">
        <v>601</v>
      </c>
      <c r="B373" t="s">
        <v>602</v>
      </c>
      <c r="C373"/>
      <c r="D373"/>
      <c r="E373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  <c r="V373"/>
      <c r="W373" t="s">
        <v>717</v>
      </c>
      <c r="X373">
        <v>6.18</v>
      </c>
    </row>
    <row r="374" spans="1:24" s="7" customFormat="1" x14ac:dyDescent="0.3">
      <c r="A374" t="s">
        <v>601</v>
      </c>
      <c r="B374" t="s">
        <v>602</v>
      </c>
      <c r="C374"/>
      <c r="D374"/>
      <c r="E374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  <c r="V374"/>
      <c r="W374" t="s">
        <v>718</v>
      </c>
      <c r="X374">
        <v>0.65</v>
      </c>
    </row>
    <row r="375" spans="1:24" s="7" customFormat="1" x14ac:dyDescent="0.3">
      <c r="A375" t="s">
        <v>601</v>
      </c>
      <c r="B375" t="s">
        <v>602</v>
      </c>
      <c r="C375"/>
      <c r="D375"/>
      <c r="E375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  <c r="U375"/>
      <c r="V375"/>
      <c r="W375" t="s">
        <v>719</v>
      </c>
      <c r="X375">
        <v>4.04</v>
      </c>
    </row>
    <row r="376" spans="1:24" s="7" customFormat="1" x14ac:dyDescent="0.3">
      <c r="A376" t="s">
        <v>601</v>
      </c>
      <c r="B376" t="s">
        <v>602</v>
      </c>
      <c r="C376"/>
      <c r="D376"/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  <c r="V376"/>
      <c r="W376" t="s">
        <v>720</v>
      </c>
      <c r="X376">
        <v>1.27</v>
      </c>
    </row>
    <row r="377" spans="1:24" s="7" customFormat="1" x14ac:dyDescent="0.3">
      <c r="A377" t="s">
        <v>601</v>
      </c>
      <c r="B377" t="s">
        <v>602</v>
      </c>
      <c r="C377"/>
      <c r="D377"/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  <c r="V377"/>
      <c r="W377" t="s">
        <v>721</v>
      </c>
      <c r="X377">
        <v>10.98</v>
      </c>
    </row>
    <row r="378" spans="1:24" s="7" customFormat="1" x14ac:dyDescent="0.3">
      <c r="A378" t="s">
        <v>601</v>
      </c>
      <c r="B378" t="s">
        <v>602</v>
      </c>
      <c r="C378"/>
      <c r="D378"/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  <c r="V378"/>
      <c r="W378" t="s">
        <v>722</v>
      </c>
      <c r="X378">
        <v>0.23</v>
      </c>
    </row>
    <row r="379" spans="1:24" s="7" customFormat="1" x14ac:dyDescent="0.3">
      <c r="A379" t="s">
        <v>601</v>
      </c>
      <c r="B379" t="s">
        <v>602</v>
      </c>
      <c r="C379"/>
      <c r="D379"/>
      <c r="E37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  <c r="U379"/>
      <c r="V379"/>
      <c r="W379" t="s">
        <v>723</v>
      </c>
      <c r="X379">
        <v>10.24</v>
      </c>
    </row>
    <row r="380" spans="1:24" s="7" customFormat="1" x14ac:dyDescent="0.3">
      <c r="A380" t="s">
        <v>601</v>
      </c>
      <c r="B380" t="s">
        <v>602</v>
      </c>
      <c r="C380"/>
      <c r="D380"/>
      <c r="E380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  <c r="V380"/>
      <c r="W380" t="s">
        <v>724</v>
      </c>
      <c r="X380">
        <v>0.23</v>
      </c>
    </row>
    <row r="381" spans="1:24" s="7" customFormat="1" x14ac:dyDescent="0.3">
      <c r="A381" t="s">
        <v>601</v>
      </c>
      <c r="B381" t="s">
        <v>602</v>
      </c>
      <c r="C381"/>
      <c r="D381"/>
      <c r="E381"/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  <c r="U381"/>
      <c r="V381"/>
      <c r="W381" s="64" t="s">
        <v>725</v>
      </c>
      <c r="X381" s="65">
        <f>SUM(X373:X380)</f>
        <v>33.82</v>
      </c>
    </row>
    <row r="382" spans="1:24" s="7" customFormat="1" x14ac:dyDescent="0.3">
      <c r="A382" t="s">
        <v>601</v>
      </c>
      <c r="B382" t="s">
        <v>602</v>
      </c>
      <c r="C382"/>
      <c r="D382"/>
      <c r="E382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  <c r="U382"/>
      <c r="V382"/>
      <c r="W382" t="s">
        <v>726</v>
      </c>
      <c r="X382">
        <v>4.1399999999999997</v>
      </c>
    </row>
    <row r="383" spans="1:24" s="7" customFormat="1" x14ac:dyDescent="0.3">
      <c r="A383" t="s">
        <v>601</v>
      </c>
      <c r="B383" t="s">
        <v>602</v>
      </c>
      <c r="C383"/>
      <c r="D383"/>
      <c r="E383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/>
      <c r="U383"/>
      <c r="V383"/>
      <c r="W383" t="s">
        <v>727</v>
      </c>
      <c r="X383">
        <v>0.57999999999999996</v>
      </c>
    </row>
    <row r="384" spans="1:24" s="7" customFormat="1" x14ac:dyDescent="0.3">
      <c r="A384" t="s">
        <v>601</v>
      </c>
      <c r="B384" t="s">
        <v>602</v>
      </c>
      <c r="C384"/>
      <c r="D384"/>
      <c r="E384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  <c r="V384"/>
      <c r="W384" t="s">
        <v>728</v>
      </c>
      <c r="X384">
        <v>3.52</v>
      </c>
    </row>
    <row r="385" spans="1:24" s="7" customFormat="1" x14ac:dyDescent="0.3">
      <c r="A385" t="s">
        <v>601</v>
      </c>
      <c r="B385" t="s">
        <v>602</v>
      </c>
      <c r="C385"/>
      <c r="D385"/>
      <c r="E385"/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/>
      <c r="U385"/>
      <c r="V385"/>
      <c r="W385" t="s">
        <v>729</v>
      </c>
      <c r="X385">
        <v>1.1399999999999999</v>
      </c>
    </row>
    <row r="386" spans="1:24" s="7" customFormat="1" x14ac:dyDescent="0.3">
      <c r="A386" t="s">
        <v>601</v>
      </c>
      <c r="B386" t="s">
        <v>602</v>
      </c>
      <c r="C386"/>
      <c r="D386"/>
      <c r="E386"/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  <c r="T386"/>
      <c r="U386"/>
      <c r="V386"/>
      <c r="W386" t="s">
        <v>730</v>
      </c>
      <c r="X386">
        <v>9.08</v>
      </c>
    </row>
    <row r="387" spans="1:24" s="7" customFormat="1" x14ac:dyDescent="0.3">
      <c r="A387" t="s">
        <v>601</v>
      </c>
      <c r="B387" t="s">
        <v>602</v>
      </c>
      <c r="C387"/>
      <c r="D387"/>
      <c r="E387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  <c r="U387"/>
      <c r="V387"/>
      <c r="W387" t="s">
        <v>731</v>
      </c>
      <c r="X387">
        <v>0.21</v>
      </c>
    </row>
    <row r="388" spans="1:24" s="7" customFormat="1" x14ac:dyDescent="0.3">
      <c r="A388" t="s">
        <v>601</v>
      </c>
      <c r="B388" t="s">
        <v>602</v>
      </c>
      <c r="C388"/>
      <c r="D388"/>
      <c r="E388"/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/>
      <c r="U388"/>
      <c r="V388"/>
      <c r="W388" t="s">
        <v>732</v>
      </c>
      <c r="X388">
        <v>12.83</v>
      </c>
    </row>
    <row r="389" spans="1:24" s="7" customFormat="1" x14ac:dyDescent="0.3">
      <c r="A389" t="s">
        <v>601</v>
      </c>
      <c r="B389" t="s">
        <v>602</v>
      </c>
      <c r="C389"/>
      <c r="D389"/>
      <c r="E389"/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  <c r="T389"/>
      <c r="U389"/>
      <c r="V389"/>
      <c r="W389" t="s">
        <v>733</v>
      </c>
      <c r="X389">
        <v>0.3</v>
      </c>
    </row>
    <row r="390" spans="1:24" s="7" customFormat="1" x14ac:dyDescent="0.3">
      <c r="A390" t="s">
        <v>601</v>
      </c>
      <c r="B390" t="s">
        <v>602</v>
      </c>
      <c r="C390"/>
      <c r="D390"/>
      <c r="E390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  <c r="V390"/>
      <c r="W390" s="64" t="s">
        <v>734</v>
      </c>
      <c r="X390" s="65">
        <f>SUM(X382:X389)</f>
        <v>31.8</v>
      </c>
    </row>
    <row r="391" spans="1:24" s="7" customFormat="1" x14ac:dyDescent="0.3">
      <c r="A391" t="s">
        <v>601</v>
      </c>
      <c r="B391" t="s">
        <v>602</v>
      </c>
      <c r="C391"/>
      <c r="D391"/>
      <c r="E391"/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  <c r="T391"/>
      <c r="U391"/>
      <c r="V391"/>
      <c r="W391" t="s">
        <v>735</v>
      </c>
      <c r="X391">
        <v>4.32</v>
      </c>
    </row>
    <row r="392" spans="1:24" s="7" customFormat="1" x14ac:dyDescent="0.3">
      <c r="A392" t="s">
        <v>601</v>
      </c>
      <c r="B392" t="s">
        <v>602</v>
      </c>
      <c r="C392"/>
      <c r="D392"/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  <c r="V392"/>
      <c r="W392" t="s">
        <v>736</v>
      </c>
      <c r="X392">
        <v>0.68</v>
      </c>
    </row>
    <row r="393" spans="1:24" s="7" customFormat="1" x14ac:dyDescent="0.3">
      <c r="A393" t="s">
        <v>601</v>
      </c>
      <c r="B393" t="s">
        <v>602</v>
      </c>
      <c r="C393"/>
      <c r="D393"/>
      <c r="E393"/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  <c r="U393"/>
      <c r="V393"/>
      <c r="W393" t="s">
        <v>737</v>
      </c>
      <c r="X393">
        <v>3.59</v>
      </c>
    </row>
    <row r="394" spans="1:24" s="7" customFormat="1" x14ac:dyDescent="0.3">
      <c r="A394" t="s">
        <v>601</v>
      </c>
      <c r="B394" t="s">
        <v>602</v>
      </c>
      <c r="C394"/>
      <c r="D394"/>
      <c r="E394"/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  <c r="T394"/>
      <c r="U394"/>
      <c r="V394"/>
      <c r="W394" t="s">
        <v>738</v>
      </c>
      <c r="X394">
        <v>0.85</v>
      </c>
    </row>
    <row r="395" spans="1:24" s="7" customFormat="1" x14ac:dyDescent="0.3">
      <c r="A395" t="s">
        <v>601</v>
      </c>
      <c r="B395" t="s">
        <v>602</v>
      </c>
      <c r="C395"/>
      <c r="D395"/>
      <c r="E395"/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/>
      <c r="U395"/>
      <c r="V395"/>
      <c r="W395" t="s">
        <v>739</v>
      </c>
      <c r="X395">
        <v>8.75</v>
      </c>
    </row>
    <row r="396" spans="1:24" s="7" customFormat="1" x14ac:dyDescent="0.3">
      <c r="A396" t="s">
        <v>601</v>
      </c>
      <c r="B396" t="s">
        <v>602</v>
      </c>
      <c r="C396"/>
      <c r="D396"/>
      <c r="E396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  <c r="V396"/>
      <c r="W396" t="s">
        <v>740</v>
      </c>
      <c r="X396">
        <v>0.23</v>
      </c>
    </row>
    <row r="397" spans="1:24" s="7" customFormat="1" x14ac:dyDescent="0.3">
      <c r="A397" t="s">
        <v>601</v>
      </c>
      <c r="B397" t="s">
        <v>602</v>
      </c>
      <c r="C397"/>
      <c r="D397"/>
      <c r="E397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  <c r="U397"/>
      <c r="V397"/>
      <c r="W397" t="s">
        <v>741</v>
      </c>
      <c r="X397">
        <v>8.33</v>
      </c>
    </row>
    <row r="398" spans="1:24" s="7" customFormat="1" x14ac:dyDescent="0.3">
      <c r="A398" t="s">
        <v>601</v>
      </c>
      <c r="B398" t="s">
        <v>602</v>
      </c>
      <c r="C398"/>
      <c r="D398"/>
      <c r="E398"/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  <c r="U398"/>
      <c r="V398"/>
      <c r="W398" t="s">
        <v>742</v>
      </c>
      <c r="X398">
        <v>0.36</v>
      </c>
    </row>
    <row r="399" spans="1:24" s="7" customFormat="1" x14ac:dyDescent="0.3">
      <c r="A399" t="s">
        <v>601</v>
      </c>
      <c r="B399" t="s">
        <v>602</v>
      </c>
      <c r="C399"/>
      <c r="D399"/>
      <c r="E399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  <c r="U399"/>
      <c r="V399"/>
      <c r="W399" s="64" t="s">
        <v>743</v>
      </c>
      <c r="X399" s="65">
        <f>SUM(X391:X398)</f>
        <v>27.11</v>
      </c>
    </row>
    <row r="400" spans="1:24" s="7" customFormat="1" x14ac:dyDescent="0.3">
      <c r="A400" t="s">
        <v>601</v>
      </c>
      <c r="B400" t="s">
        <v>602</v>
      </c>
      <c r="C400"/>
      <c r="D400"/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  <c r="V400"/>
      <c r="W400" t="s">
        <v>744</v>
      </c>
      <c r="X400">
        <v>4.6399999999999997</v>
      </c>
    </row>
    <row r="401" spans="1:24" s="7" customFormat="1" x14ac:dyDescent="0.3">
      <c r="A401" t="s">
        <v>601</v>
      </c>
      <c r="B401" t="s">
        <v>602</v>
      </c>
      <c r="C401"/>
      <c r="D401"/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  <c r="V401"/>
      <c r="W401" t="s">
        <v>745</v>
      </c>
      <c r="X401">
        <v>0.77</v>
      </c>
    </row>
    <row r="402" spans="1:24" s="7" customFormat="1" x14ac:dyDescent="0.3">
      <c r="A402" t="s">
        <v>601</v>
      </c>
      <c r="B402" t="s">
        <v>602</v>
      </c>
      <c r="C402"/>
      <c r="D402"/>
      <c r="E402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  <c r="V402"/>
      <c r="W402" t="s">
        <v>746</v>
      </c>
      <c r="X402">
        <v>3.58</v>
      </c>
    </row>
    <row r="403" spans="1:24" s="7" customFormat="1" x14ac:dyDescent="0.3">
      <c r="A403" t="s">
        <v>601</v>
      </c>
      <c r="B403" t="s">
        <v>602</v>
      </c>
      <c r="C403"/>
      <c r="D403"/>
      <c r="E403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  <c r="V403"/>
      <c r="W403" t="s">
        <v>747</v>
      </c>
      <c r="X403">
        <v>0.85</v>
      </c>
    </row>
    <row r="404" spans="1:24" s="7" customFormat="1" x14ac:dyDescent="0.3">
      <c r="A404" t="s">
        <v>601</v>
      </c>
      <c r="B404" t="s">
        <v>602</v>
      </c>
      <c r="C404"/>
      <c r="D404"/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  <c r="V404"/>
      <c r="W404" t="s">
        <v>748</v>
      </c>
      <c r="X404">
        <v>8.84</v>
      </c>
    </row>
    <row r="405" spans="1:24" s="7" customFormat="1" x14ac:dyDescent="0.3">
      <c r="A405" t="s">
        <v>601</v>
      </c>
      <c r="B405" t="s">
        <v>602</v>
      </c>
      <c r="C405"/>
      <c r="D405"/>
      <c r="E405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  <c r="V405"/>
      <c r="W405" t="s">
        <v>749</v>
      </c>
      <c r="X405">
        <v>0.23</v>
      </c>
    </row>
    <row r="406" spans="1:24" s="7" customFormat="1" x14ac:dyDescent="0.3">
      <c r="A406" t="s">
        <v>601</v>
      </c>
      <c r="B406" t="s">
        <v>602</v>
      </c>
      <c r="C406"/>
      <c r="D406"/>
      <c r="E406"/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  <c r="U406"/>
      <c r="V406"/>
      <c r="W406" t="s">
        <v>750</v>
      </c>
      <c r="X406">
        <v>7.58</v>
      </c>
    </row>
    <row r="407" spans="1:24" s="7" customFormat="1" x14ac:dyDescent="0.3">
      <c r="A407" t="s">
        <v>601</v>
      </c>
      <c r="B407" t="s">
        <v>602</v>
      </c>
      <c r="C407"/>
      <c r="D407"/>
      <c r="E407"/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/>
      <c r="U407"/>
      <c r="V407"/>
      <c r="W407" t="s">
        <v>751</v>
      </c>
      <c r="X407">
        <v>0.34</v>
      </c>
    </row>
    <row r="408" spans="1:24" s="7" customFormat="1" x14ac:dyDescent="0.3">
      <c r="A408" t="s">
        <v>601</v>
      </c>
      <c r="B408" t="s">
        <v>602</v>
      </c>
      <c r="C408"/>
      <c r="D408"/>
      <c r="E408"/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  <c r="V408"/>
      <c r="W408" s="64" t="s">
        <v>752</v>
      </c>
      <c r="X408" s="64">
        <f>SUM(X400:X407)</f>
        <v>26.830000000000002</v>
      </c>
    </row>
    <row r="409" spans="1:24" s="7" customFormat="1" x14ac:dyDescent="0.3">
      <c r="A409" t="s">
        <v>601</v>
      </c>
      <c r="B409" t="s">
        <v>602</v>
      </c>
      <c r="C409"/>
      <c r="D409"/>
      <c r="E409"/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  <c r="U409"/>
      <c r="V409"/>
      <c r="W409" s="64" t="s">
        <v>753</v>
      </c>
      <c r="X409" s="65">
        <f>((X309-X300)/X309)*100</f>
        <v>-9.5393543706927648</v>
      </c>
    </row>
    <row r="410" spans="1:24" s="7" customFormat="1" x14ac:dyDescent="0.3">
      <c r="A410" t="s">
        <v>601</v>
      </c>
      <c r="B410" t="s">
        <v>602</v>
      </c>
      <c r="C410"/>
      <c r="D410"/>
      <c r="E410"/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/>
      <c r="U410"/>
      <c r="V410"/>
      <c r="W410" s="64" t="s">
        <v>754</v>
      </c>
      <c r="X410" s="65">
        <f>((X318-X309)/X318)*100</f>
        <v>6.6373179817135144</v>
      </c>
    </row>
    <row r="411" spans="1:24" s="7" customFormat="1" x14ac:dyDescent="0.3">
      <c r="A411" t="s">
        <v>601</v>
      </c>
      <c r="B411" t="s">
        <v>602</v>
      </c>
      <c r="C411"/>
      <c r="D411"/>
      <c r="E411"/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  <c r="T411"/>
      <c r="U411"/>
      <c r="V411"/>
      <c r="W411" s="64" t="s">
        <v>755</v>
      </c>
      <c r="X411" s="65">
        <f>((X327-X318)/X327)*100</f>
        <v>10.650529500756438</v>
      </c>
    </row>
    <row r="412" spans="1:24" s="7" customFormat="1" x14ac:dyDescent="0.3">
      <c r="A412" t="s">
        <v>601</v>
      </c>
      <c r="B412" t="s">
        <v>602</v>
      </c>
      <c r="C412"/>
      <c r="D412"/>
      <c r="E412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  <c r="V412"/>
      <c r="W412" s="64" t="s">
        <v>756</v>
      </c>
      <c r="X412" s="65">
        <f>((X336-X327)/X336)*100</f>
        <v>2.0160094871034469</v>
      </c>
    </row>
    <row r="413" spans="1:24" s="7" customFormat="1" x14ac:dyDescent="0.3">
      <c r="A413" t="s">
        <v>601</v>
      </c>
      <c r="B413" t="s">
        <v>602</v>
      </c>
      <c r="C413"/>
      <c r="D413"/>
      <c r="E413"/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/>
      <c r="U413"/>
      <c r="V413"/>
      <c r="W413" s="64" t="s">
        <v>757</v>
      </c>
      <c r="X413" s="65">
        <f>((X345-X336)/X345)*100</f>
        <v>8.1176791065104812</v>
      </c>
    </row>
    <row r="414" spans="1:24" s="7" customFormat="1" x14ac:dyDescent="0.3">
      <c r="A414" t="s">
        <v>601</v>
      </c>
      <c r="B414" t="s">
        <v>602</v>
      </c>
      <c r="C414"/>
      <c r="D414"/>
      <c r="E414"/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  <c r="T414"/>
      <c r="U414"/>
      <c r="V414"/>
      <c r="W414" s="64" t="s">
        <v>758</v>
      </c>
      <c r="X414" s="65">
        <f>((X354-X345)/X354)*100</f>
        <v>-4.8258138206738739</v>
      </c>
    </row>
    <row r="415" spans="1:24" s="7" customFormat="1" x14ac:dyDescent="0.3">
      <c r="A415" t="s">
        <v>601</v>
      </c>
      <c r="B415" t="s">
        <v>602</v>
      </c>
      <c r="C415"/>
      <c r="D415"/>
      <c r="E415"/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  <c r="T415"/>
      <c r="U415"/>
      <c r="V415"/>
      <c r="W415" s="64" t="s">
        <v>759</v>
      </c>
      <c r="X415" s="65">
        <f>((X363-X354)/X363)*100</f>
        <v>-21.851078636047308</v>
      </c>
    </row>
    <row r="416" spans="1:24" s="7" customFormat="1" x14ac:dyDescent="0.3">
      <c r="A416" t="s">
        <v>601</v>
      </c>
      <c r="B416" t="s">
        <v>602</v>
      </c>
      <c r="C416"/>
      <c r="D416"/>
      <c r="E416"/>
      <c r="F416"/>
      <c r="G416"/>
      <c r="H416"/>
      <c r="I416"/>
      <c r="J416"/>
      <c r="K416"/>
      <c r="L416"/>
      <c r="M416"/>
      <c r="N416"/>
      <c r="O416"/>
      <c r="P416"/>
      <c r="Q416"/>
      <c r="R416"/>
      <c r="S416"/>
      <c r="T416"/>
      <c r="U416"/>
      <c r="V416"/>
      <c r="W416" s="64" t="s">
        <v>760</v>
      </c>
      <c r="X416" s="65">
        <f>((X372-X363)/X372)*100</f>
        <v>7.8255291853752116</v>
      </c>
    </row>
    <row r="417" spans="1:24" s="7" customFormat="1" x14ac:dyDescent="0.3">
      <c r="A417" t="s">
        <v>601</v>
      </c>
      <c r="B417" t="s">
        <v>602</v>
      </c>
      <c r="C417"/>
      <c r="D417"/>
      <c r="E417"/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  <c r="T417"/>
      <c r="U417"/>
      <c r="V417"/>
      <c r="W417" s="64" t="s">
        <v>761</v>
      </c>
      <c r="X417" s="65">
        <f>((X381-X372)/X381)*100</f>
        <v>7.8060319337670148</v>
      </c>
    </row>
    <row r="418" spans="1:24" s="7" customFormat="1" x14ac:dyDescent="0.3">
      <c r="A418" t="s">
        <v>601</v>
      </c>
      <c r="B418" t="s">
        <v>602</v>
      </c>
      <c r="C418"/>
      <c r="D418"/>
      <c r="E418"/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  <c r="T418"/>
      <c r="U418"/>
      <c r="V418"/>
      <c r="W418" s="64" t="s">
        <v>762</v>
      </c>
      <c r="X418" s="65">
        <f>((X390-X381)/X390)*100</f>
        <v>-6.3522012578616334</v>
      </c>
    </row>
    <row r="419" spans="1:24" s="7" customFormat="1" x14ac:dyDescent="0.3">
      <c r="A419" t="s">
        <v>601</v>
      </c>
      <c r="B419" t="s">
        <v>602</v>
      </c>
      <c r="C419"/>
      <c r="D419"/>
      <c r="E419"/>
      <c r="F419"/>
      <c r="G419"/>
      <c r="H419"/>
      <c r="I419"/>
      <c r="J419"/>
      <c r="K419"/>
      <c r="L419"/>
      <c r="M419"/>
      <c r="N419"/>
      <c r="O419"/>
      <c r="P419"/>
      <c r="Q419"/>
      <c r="R419"/>
      <c r="S419"/>
      <c r="T419"/>
      <c r="U419"/>
      <c r="V419"/>
      <c r="W419" s="64" t="s">
        <v>763</v>
      </c>
      <c r="X419" s="65">
        <f>((X399-X390)/X390)*100</f>
        <v>-14.74842767295598</v>
      </c>
    </row>
    <row r="420" spans="1:24" s="7" customFormat="1" x14ac:dyDescent="0.3">
      <c r="A420" t="s">
        <v>601</v>
      </c>
      <c r="B420" t="s">
        <v>602</v>
      </c>
      <c r="C420"/>
      <c r="D420"/>
      <c r="E420"/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  <c r="U420"/>
      <c r="V420"/>
      <c r="W420" s="64" t="s">
        <v>764</v>
      </c>
      <c r="X420" s="65">
        <f>((X408-X399)/X399)*100</f>
        <v>-1.032829214312053</v>
      </c>
    </row>
    <row r="421" spans="1:24" s="7" customFormat="1" x14ac:dyDescent="0.3">
      <c r="A421" t="s">
        <v>601</v>
      </c>
      <c r="B421" t="s">
        <v>602</v>
      </c>
      <c r="C421"/>
      <c r="D421"/>
      <c r="E421"/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  <c r="T421"/>
      <c r="U421"/>
      <c r="V421"/>
      <c r="W421" s="64" t="s">
        <v>767</v>
      </c>
      <c r="X421" s="65">
        <f>((X408-X399)/X408)*100</f>
        <v>-1.0436079016026745</v>
      </c>
    </row>
    <row r="422" spans="1:24" s="7" customFormat="1" x14ac:dyDescent="0.3">
      <c r="A422" t="s">
        <v>601</v>
      </c>
      <c r="B422" t="s">
        <v>602</v>
      </c>
      <c r="C422"/>
      <c r="D422"/>
      <c r="E422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  <c r="U422"/>
      <c r="V422"/>
      <c r="W422" s="64" t="s">
        <v>765</v>
      </c>
      <c r="X422" s="68">
        <f>X391+X392</f>
        <v>5</v>
      </c>
    </row>
    <row r="423" spans="1:24" s="7" customFormat="1" x14ac:dyDescent="0.3">
      <c r="A423" t="s">
        <v>601</v>
      </c>
      <c r="B423" t="s">
        <v>602</v>
      </c>
      <c r="C423"/>
      <c r="D423"/>
      <c r="E423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/>
      <c r="U423"/>
      <c r="V423"/>
      <c r="W423" s="64" t="s">
        <v>766</v>
      </c>
      <c r="X423" s="65">
        <f>X400+X401</f>
        <v>5.41</v>
      </c>
    </row>
    <row r="424" spans="1:24" s="7" customFormat="1" x14ac:dyDescent="0.3">
      <c r="A424" t="s">
        <v>601</v>
      </c>
      <c r="B424" t="s">
        <v>602</v>
      </c>
      <c r="C424"/>
      <c r="D424"/>
      <c r="E424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  <c r="U424"/>
      <c r="V424"/>
      <c r="W424" s="64" t="s">
        <v>768</v>
      </c>
      <c r="X424" s="65">
        <f>X393+X394+X395</f>
        <v>13.19</v>
      </c>
    </row>
    <row r="425" spans="1:24" s="7" customFormat="1" x14ac:dyDescent="0.3">
      <c r="A425" t="s">
        <v>601</v>
      </c>
      <c r="B425" t="s">
        <v>602</v>
      </c>
      <c r="C425"/>
      <c r="D425"/>
      <c r="E425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  <c r="U425"/>
      <c r="V425"/>
      <c r="W425" s="64" t="s">
        <v>769</v>
      </c>
      <c r="X425" s="65">
        <f>X402+X403+X404</f>
        <v>13.27</v>
      </c>
    </row>
    <row r="426" spans="1:24" s="7" customFormat="1" x14ac:dyDescent="0.3">
      <c r="A426" t="s">
        <v>601</v>
      </c>
      <c r="B426" t="s">
        <v>602</v>
      </c>
      <c r="C426"/>
      <c r="D426"/>
      <c r="E426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  <c r="U426"/>
      <c r="V426"/>
      <c r="W426" s="64" t="s">
        <v>770</v>
      </c>
      <c r="X426" s="68">
        <f>X396+X397+X398</f>
        <v>8.92</v>
      </c>
    </row>
    <row r="427" spans="1:24" s="7" customFormat="1" x14ac:dyDescent="0.3">
      <c r="A427" t="s">
        <v>601</v>
      </c>
      <c r="B427" t="s">
        <v>602</v>
      </c>
      <c r="C427"/>
      <c r="D427"/>
      <c r="E427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/>
      <c r="U427"/>
      <c r="V427"/>
      <c r="W427" s="64" t="s">
        <v>771</v>
      </c>
      <c r="X427" s="65">
        <f>X405+X406+X407</f>
        <v>8.15</v>
      </c>
    </row>
    <row r="428" spans="1:24" s="7" customFormat="1" x14ac:dyDescent="0.3">
      <c r="A428" t="s">
        <v>601</v>
      </c>
      <c r="B428" t="s">
        <v>602</v>
      </c>
      <c r="C428"/>
      <c r="D428"/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  <c r="V428"/>
      <c r="W428" s="64" t="s">
        <v>772</v>
      </c>
      <c r="X428" s="65">
        <f>((X423-X422)/X423)*100</f>
        <v>7.5785582255083206</v>
      </c>
    </row>
    <row r="429" spans="1:24" s="7" customFormat="1" x14ac:dyDescent="0.3">
      <c r="A429" t="s">
        <v>601</v>
      </c>
      <c r="B429" t="s">
        <v>602</v>
      </c>
      <c r="C429"/>
      <c r="D429"/>
      <c r="E42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  <c r="U429"/>
      <c r="V429"/>
      <c r="W429" s="64" t="s">
        <v>773</v>
      </c>
      <c r="X429" s="65">
        <f>((X425-X424)/X425)*100</f>
        <v>0.6028636021100231</v>
      </c>
    </row>
    <row r="430" spans="1:24" s="7" customFormat="1" x14ac:dyDescent="0.3">
      <c r="A430" t="s">
        <v>601</v>
      </c>
      <c r="B430" t="s">
        <v>602</v>
      </c>
      <c r="C430"/>
      <c r="D430"/>
      <c r="E430"/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  <c r="T430"/>
      <c r="U430"/>
      <c r="V430"/>
      <c r="W430" s="64" t="s">
        <v>774</v>
      </c>
      <c r="X430" s="65">
        <f>((X427-X426)/X427)*100</f>
        <v>-9.4478527607361897</v>
      </c>
    </row>
    <row r="431" spans="1:24" s="7" customFormat="1" x14ac:dyDescent="0.3">
      <c r="A431" t="s">
        <v>601</v>
      </c>
      <c r="B431" t="s">
        <v>777</v>
      </c>
      <c r="C431"/>
      <c r="D431"/>
      <c r="E431"/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  <c r="T431"/>
      <c r="U431"/>
      <c r="V431"/>
      <c r="W431" s="95" t="s">
        <v>778</v>
      </c>
      <c r="X431" s="97">
        <v>1368359.36</v>
      </c>
    </row>
    <row r="432" spans="1:24" s="7" customFormat="1" x14ac:dyDescent="0.3">
      <c r="A432" t="s">
        <v>601</v>
      </c>
      <c r="B432" t="s">
        <v>777</v>
      </c>
      <c r="C432"/>
      <c r="D432"/>
      <c r="E432"/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  <c r="T432"/>
      <c r="U432"/>
      <c r="V432"/>
      <c r="W432" t="s">
        <v>779</v>
      </c>
      <c r="X432" s="94">
        <v>1368359.36</v>
      </c>
    </row>
    <row r="433" spans="1:24" s="7" customFormat="1" x14ac:dyDescent="0.3">
      <c r="A433" t="s">
        <v>601</v>
      </c>
      <c r="B433" t="s">
        <v>777</v>
      </c>
      <c r="C433"/>
      <c r="D433"/>
      <c r="E433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/>
      <c r="U433"/>
      <c r="V433"/>
      <c r="W433" s="95" t="s">
        <v>780</v>
      </c>
      <c r="X433" s="97">
        <v>15649892.191</v>
      </c>
    </row>
    <row r="434" spans="1:24" s="7" customFormat="1" x14ac:dyDescent="0.3">
      <c r="A434" t="s">
        <v>601</v>
      </c>
      <c r="B434" t="s">
        <v>777</v>
      </c>
      <c r="C434"/>
      <c r="D434"/>
      <c r="E434"/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  <c r="T434"/>
      <c r="U434"/>
      <c r="V434"/>
      <c r="W434" s="95" t="s">
        <v>781</v>
      </c>
      <c r="X434" s="97">
        <v>1241370.635</v>
      </c>
    </row>
    <row r="435" spans="1:24" s="7" customFormat="1" x14ac:dyDescent="0.3">
      <c r="A435" t="s">
        <v>601</v>
      </c>
      <c r="B435" t="s">
        <v>777</v>
      </c>
      <c r="C435"/>
      <c r="D435"/>
      <c r="E435"/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  <c r="T435"/>
      <c r="U435"/>
      <c r="V435"/>
      <c r="W435" s="95" t="s">
        <v>782</v>
      </c>
      <c r="X435" s="97">
        <v>241297337.86000001</v>
      </c>
    </row>
    <row r="436" spans="1:24" s="7" customFormat="1" x14ac:dyDescent="0.3">
      <c r="A436" t="s">
        <v>601</v>
      </c>
      <c r="B436" t="s">
        <v>777</v>
      </c>
      <c r="C436"/>
      <c r="D436"/>
      <c r="E436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  <c r="V436"/>
      <c r="W436" t="s">
        <v>783</v>
      </c>
      <c r="X436" s="96">
        <v>728414.78</v>
      </c>
    </row>
    <row r="437" spans="1:24" s="7" customFormat="1" x14ac:dyDescent="0.3">
      <c r="A437" t="s">
        <v>601</v>
      </c>
      <c r="B437" t="s">
        <v>777</v>
      </c>
      <c r="C437"/>
      <c r="D437"/>
      <c r="E437"/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  <c r="T437"/>
      <c r="U437"/>
      <c r="V437"/>
      <c r="W437" t="s">
        <v>784</v>
      </c>
      <c r="X437" s="96">
        <v>90100254.033999994</v>
      </c>
    </row>
    <row r="438" spans="1:24" s="7" customFormat="1" x14ac:dyDescent="0.3">
      <c r="A438" t="s">
        <v>601</v>
      </c>
      <c r="B438" t="s">
        <v>777</v>
      </c>
      <c r="C438"/>
      <c r="D438"/>
      <c r="E438"/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  <c r="T438"/>
      <c r="U438"/>
      <c r="V438"/>
      <c r="W438" t="s">
        <v>785</v>
      </c>
      <c r="X438" s="94">
        <v>15649892.191</v>
      </c>
    </row>
    <row r="439" spans="1:24" s="7" customFormat="1" x14ac:dyDescent="0.3">
      <c r="A439" t="s">
        <v>601</v>
      </c>
      <c r="B439" t="s">
        <v>777</v>
      </c>
      <c r="C439"/>
      <c r="D439"/>
      <c r="E439"/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  <c r="T439"/>
      <c r="U439"/>
      <c r="V439"/>
      <c r="W439" t="s">
        <v>786</v>
      </c>
      <c r="X439" s="94">
        <v>151197083.82499999</v>
      </c>
    </row>
    <row r="440" spans="1:24" s="7" customFormat="1" x14ac:dyDescent="0.3">
      <c r="A440" t="s">
        <v>601</v>
      </c>
      <c r="B440" t="s">
        <v>777</v>
      </c>
      <c r="C440"/>
      <c r="D440"/>
      <c r="E440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  <c r="U440"/>
      <c r="V440"/>
      <c r="W440" t="s">
        <v>787</v>
      </c>
      <c r="X440" s="94">
        <v>512955.85499999998</v>
      </c>
    </row>
    <row r="441" spans="1:24" s="7" customFormat="1" x14ac:dyDescent="0.3">
      <c r="A441" t="s">
        <v>601</v>
      </c>
      <c r="B441" t="s">
        <v>777</v>
      </c>
      <c r="C441"/>
      <c r="D441"/>
      <c r="E441"/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  <c r="T441"/>
      <c r="U441"/>
      <c r="V441"/>
      <c r="W441" s="64" t="s">
        <v>788</v>
      </c>
      <c r="X441" s="98">
        <f>X433</f>
        <v>15649892.191</v>
      </c>
    </row>
    <row r="442" spans="1:24" s="7" customFormat="1" x14ac:dyDescent="0.3">
      <c r="A442" t="s">
        <v>601</v>
      </c>
      <c r="B442" t="s">
        <v>777</v>
      </c>
      <c r="C442"/>
      <c r="D442"/>
      <c r="E442"/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  <c r="T442"/>
      <c r="U442"/>
      <c r="V442"/>
      <c r="W442" s="64" t="s">
        <v>789</v>
      </c>
      <c r="X442" s="98">
        <f>X434</f>
        <v>1241370.635</v>
      </c>
    </row>
    <row r="443" spans="1:24" s="7" customFormat="1" x14ac:dyDescent="0.3">
      <c r="A443" t="s">
        <v>601</v>
      </c>
      <c r="B443" t="s">
        <v>777</v>
      </c>
      <c r="C443"/>
      <c r="D443"/>
      <c r="E443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/>
      <c r="U443"/>
      <c r="V443"/>
      <c r="W443" s="64" t="s">
        <v>790</v>
      </c>
      <c r="X443" s="98">
        <f>X431+X435</f>
        <v>242665697.22000003</v>
      </c>
    </row>
    <row r="444" spans="1:24" s="7" customFormat="1" x14ac:dyDescent="0.3">
      <c r="A444" t="s">
        <v>601</v>
      </c>
      <c r="B444" t="s">
        <v>777</v>
      </c>
      <c r="C444"/>
      <c r="D444"/>
      <c r="E444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  <c r="U444"/>
      <c r="V444"/>
      <c r="W444" s="99" t="s">
        <v>791</v>
      </c>
      <c r="X444" s="100">
        <f>X431</f>
        <v>1368359.36</v>
      </c>
    </row>
    <row r="445" spans="1:24" s="7" customFormat="1" x14ac:dyDescent="0.3">
      <c r="A445" t="s">
        <v>601</v>
      </c>
      <c r="B445" t="s">
        <v>777</v>
      </c>
      <c r="C445"/>
      <c r="D445"/>
      <c r="E445"/>
      <c r="F445"/>
      <c r="G445"/>
      <c r="H445"/>
      <c r="I445"/>
      <c r="J445"/>
      <c r="K445"/>
      <c r="L445"/>
      <c r="M445"/>
      <c r="N445"/>
      <c r="O445"/>
      <c r="P445"/>
      <c r="Q445"/>
      <c r="R445"/>
      <c r="S445"/>
      <c r="T445"/>
      <c r="U445"/>
      <c r="V445"/>
      <c r="W445" s="64" t="s">
        <v>792</v>
      </c>
      <c r="X445" s="98">
        <f>X432</f>
        <v>1368359.36</v>
      </c>
    </row>
    <row r="446" spans="1:24" s="7" customFormat="1" x14ac:dyDescent="0.3">
      <c r="A446" t="s">
        <v>601</v>
      </c>
      <c r="B446" t="s">
        <v>777</v>
      </c>
      <c r="C446"/>
      <c r="D446"/>
      <c r="E446"/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  <c r="T446"/>
      <c r="U446"/>
      <c r="V446"/>
      <c r="W446" s="99" t="s">
        <v>793</v>
      </c>
      <c r="X446" s="100">
        <f>X433+X434+X435</f>
        <v>258188600.68600002</v>
      </c>
    </row>
    <row r="447" spans="1:24" s="7" customFormat="1" x14ac:dyDescent="0.3">
      <c r="A447" t="s">
        <v>601</v>
      </c>
      <c r="B447" t="s">
        <v>777</v>
      </c>
      <c r="C447"/>
      <c r="D447"/>
      <c r="E447"/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  <c r="T447"/>
      <c r="U447"/>
      <c r="V447"/>
      <c r="W447" s="64" t="s">
        <v>794</v>
      </c>
      <c r="X447" s="98">
        <f>X436+X437</f>
        <v>90828668.813999996</v>
      </c>
    </row>
    <row r="448" spans="1:24" s="7" customFormat="1" x14ac:dyDescent="0.3">
      <c r="A448" t="s">
        <v>601</v>
      </c>
      <c r="B448" t="s">
        <v>777</v>
      </c>
      <c r="C448"/>
      <c r="D448"/>
      <c r="E448"/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  <c r="T448"/>
      <c r="U448"/>
      <c r="V448"/>
      <c r="W448" s="64" t="s">
        <v>795</v>
      </c>
      <c r="X448" s="98">
        <f>X438+X439</f>
        <v>166846976.01599997</v>
      </c>
    </row>
    <row r="449" spans="1:24" s="7" customFormat="1" x14ac:dyDescent="0.3">
      <c r="A449" t="s">
        <v>601</v>
      </c>
      <c r="B449" t="s">
        <v>777</v>
      </c>
      <c r="C449"/>
      <c r="D449"/>
      <c r="E449"/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  <c r="T449"/>
      <c r="U449"/>
      <c r="V449"/>
      <c r="W449" s="64" t="s">
        <v>796</v>
      </c>
      <c r="X449" s="98">
        <f>X440</f>
        <v>512955.85499999998</v>
      </c>
    </row>
    <row r="450" spans="1:24" s="7" customFormat="1" x14ac:dyDescent="0.3">
      <c r="A450" t="s">
        <v>601</v>
      </c>
      <c r="B450" t="s">
        <v>777</v>
      </c>
      <c r="C450"/>
      <c r="D450"/>
      <c r="E450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  <c r="T450"/>
      <c r="U450"/>
      <c r="V450"/>
      <c r="W450" s="99" t="s">
        <v>797</v>
      </c>
      <c r="X450" s="100">
        <f>X444+X446</f>
        <v>259556960.04600003</v>
      </c>
    </row>
    <row r="451" spans="1:24" s="7" customFormat="1" x14ac:dyDescent="0.3">
      <c r="A451" t="s">
        <v>601</v>
      </c>
      <c r="B451" t="s">
        <v>777</v>
      </c>
      <c r="C451"/>
      <c r="D451"/>
      <c r="E451"/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  <c r="T451"/>
      <c r="U451"/>
      <c r="V451"/>
      <c r="W451" s="95" t="s">
        <v>798</v>
      </c>
      <c r="X451" s="102">
        <v>57607252.990999997</v>
      </c>
    </row>
    <row r="452" spans="1:24" s="7" customFormat="1" x14ac:dyDescent="0.3">
      <c r="A452" t="s">
        <v>601</v>
      </c>
      <c r="B452" t="s">
        <v>777</v>
      </c>
      <c r="C452"/>
      <c r="D452"/>
      <c r="E452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  <c r="U452"/>
      <c r="V452"/>
      <c r="W452" t="s">
        <v>799</v>
      </c>
      <c r="X452" s="101">
        <v>57607552.990999997</v>
      </c>
    </row>
    <row r="453" spans="1:24" s="7" customFormat="1" x14ac:dyDescent="0.3">
      <c r="A453" t="s">
        <v>601</v>
      </c>
      <c r="B453" t="s">
        <v>777</v>
      </c>
      <c r="C453"/>
      <c r="D453"/>
      <c r="E453"/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  <c r="T453"/>
      <c r="U453"/>
      <c r="V453"/>
      <c r="W453" s="95" t="s">
        <v>800</v>
      </c>
      <c r="X453" s="102">
        <v>62280417.979999997</v>
      </c>
    </row>
    <row r="454" spans="1:24" s="7" customFormat="1" x14ac:dyDescent="0.3">
      <c r="A454" t="s">
        <v>601</v>
      </c>
      <c r="B454" t="s">
        <v>777</v>
      </c>
      <c r="C454"/>
      <c r="D454"/>
      <c r="E454"/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  <c r="T454"/>
      <c r="U454"/>
      <c r="V454"/>
      <c r="W454" t="s">
        <v>801</v>
      </c>
      <c r="X454" s="93">
        <v>52153517.979999997</v>
      </c>
    </row>
    <row r="455" spans="1:24" s="7" customFormat="1" x14ac:dyDescent="0.3">
      <c r="A455" t="s">
        <v>601</v>
      </c>
      <c r="B455" t="s">
        <v>777</v>
      </c>
      <c r="C455"/>
      <c r="D455"/>
      <c r="E455"/>
      <c r="F455"/>
      <c r="G455"/>
      <c r="H455"/>
      <c r="I455"/>
      <c r="J455"/>
      <c r="K455"/>
      <c r="L455"/>
      <c r="M455"/>
      <c r="N455"/>
      <c r="O455"/>
      <c r="P455"/>
      <c r="Q455"/>
      <c r="R455"/>
      <c r="S455"/>
      <c r="T455"/>
      <c r="U455"/>
      <c r="V455"/>
      <c r="W455" t="s">
        <v>802</v>
      </c>
      <c r="X455" s="93">
        <v>10126900</v>
      </c>
    </row>
    <row r="456" spans="1:24" s="7" customFormat="1" x14ac:dyDescent="0.3">
      <c r="A456" t="s">
        <v>601</v>
      </c>
      <c r="B456" t="s">
        <v>777</v>
      </c>
      <c r="C456"/>
      <c r="D456"/>
      <c r="E456"/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  <c r="T456"/>
      <c r="U456"/>
      <c r="V456"/>
      <c r="W456" s="95" t="s">
        <v>803</v>
      </c>
      <c r="X456" s="102">
        <v>6822723.7220000001</v>
      </c>
    </row>
    <row r="457" spans="1:24" s="7" customFormat="1" x14ac:dyDescent="0.3">
      <c r="A457" t="s">
        <v>601</v>
      </c>
      <c r="B457" t="s">
        <v>777</v>
      </c>
      <c r="C457"/>
      <c r="D457"/>
      <c r="E457"/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/>
      <c r="U457"/>
      <c r="V457"/>
      <c r="W457" s="95" t="s">
        <v>804</v>
      </c>
      <c r="X457" s="102">
        <v>1735653.1029999999</v>
      </c>
    </row>
    <row r="458" spans="1:24" s="7" customFormat="1" x14ac:dyDescent="0.3">
      <c r="A458" t="s">
        <v>601</v>
      </c>
      <c r="B458" t="s">
        <v>777</v>
      </c>
      <c r="C458"/>
      <c r="D458"/>
      <c r="E458"/>
      <c r="F458"/>
      <c r="G458"/>
      <c r="H458"/>
      <c r="I458"/>
      <c r="J458"/>
      <c r="K458"/>
      <c r="L458"/>
      <c r="M458"/>
      <c r="N458"/>
      <c r="O458"/>
      <c r="P458"/>
      <c r="Q458"/>
      <c r="R458"/>
      <c r="S458"/>
      <c r="T458"/>
      <c r="U458"/>
      <c r="V458"/>
      <c r="W458" s="95" t="s">
        <v>805</v>
      </c>
      <c r="X458" s="102">
        <v>380796661.44199997</v>
      </c>
    </row>
    <row r="459" spans="1:24" s="7" customFormat="1" x14ac:dyDescent="0.3">
      <c r="A459" t="s">
        <v>601</v>
      </c>
      <c r="B459" t="s">
        <v>777</v>
      </c>
      <c r="C459"/>
      <c r="D459"/>
      <c r="E459"/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  <c r="T459"/>
      <c r="U459"/>
      <c r="V459"/>
      <c r="W459" t="s">
        <v>806</v>
      </c>
      <c r="X459" s="93">
        <v>113900864.18700001</v>
      </c>
    </row>
    <row r="460" spans="1:24" s="7" customFormat="1" x14ac:dyDescent="0.3">
      <c r="A460" t="s">
        <v>601</v>
      </c>
      <c r="B460" t="s">
        <v>777</v>
      </c>
      <c r="C460"/>
      <c r="D460"/>
      <c r="E460"/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  <c r="T460"/>
      <c r="U460"/>
      <c r="V460"/>
      <c r="W460" t="s">
        <v>811</v>
      </c>
      <c r="X460" s="93">
        <v>6822723.7220000001</v>
      </c>
    </row>
    <row r="461" spans="1:24" s="7" customFormat="1" x14ac:dyDescent="0.3">
      <c r="A461" t="s">
        <v>601</v>
      </c>
      <c r="B461" t="s">
        <v>777</v>
      </c>
      <c r="C461"/>
      <c r="D461"/>
      <c r="E461"/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  <c r="T461"/>
      <c r="U461"/>
      <c r="V461"/>
      <c r="W461" t="s">
        <v>810</v>
      </c>
      <c r="X461" s="93">
        <v>261777697.03099999</v>
      </c>
    </row>
    <row r="462" spans="1:24" s="7" customFormat="1" x14ac:dyDescent="0.3">
      <c r="A462" t="s">
        <v>601</v>
      </c>
      <c r="B462" t="s">
        <v>777</v>
      </c>
      <c r="C462"/>
      <c r="D462"/>
      <c r="E462"/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  <c r="U462"/>
      <c r="V462"/>
      <c r="W462" t="s">
        <v>807</v>
      </c>
      <c r="X462" s="93">
        <v>1004358.373</v>
      </c>
    </row>
    <row r="463" spans="1:24" s="7" customFormat="1" x14ac:dyDescent="0.3">
      <c r="A463" t="s">
        <v>601</v>
      </c>
      <c r="B463" t="s">
        <v>777</v>
      </c>
      <c r="C463"/>
      <c r="D463"/>
      <c r="E463"/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  <c r="T463"/>
      <c r="U463"/>
      <c r="V463"/>
      <c r="W463" t="s">
        <v>808</v>
      </c>
      <c r="X463" s="93">
        <v>1735653.1029999999</v>
      </c>
    </row>
    <row r="464" spans="1:24" s="7" customFormat="1" x14ac:dyDescent="0.3">
      <c r="A464" t="s">
        <v>601</v>
      </c>
      <c r="B464" t="s">
        <v>777</v>
      </c>
      <c r="C464"/>
      <c r="D464"/>
      <c r="E464"/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  <c r="V464"/>
      <c r="W464" t="s">
        <v>809</v>
      </c>
      <c r="X464" s="93">
        <v>4113741.8509999998</v>
      </c>
    </row>
    <row r="465" spans="1:24" s="7" customFormat="1" x14ac:dyDescent="0.3">
      <c r="A465" t="s">
        <v>601</v>
      </c>
      <c r="B465" t="s">
        <v>777</v>
      </c>
      <c r="C465"/>
      <c r="D465"/>
      <c r="E465"/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/>
      <c r="U465"/>
      <c r="V465"/>
      <c r="W465" s="64" t="s">
        <v>812</v>
      </c>
      <c r="X465" s="98">
        <f>X456</f>
        <v>6822723.7220000001</v>
      </c>
    </row>
    <row r="466" spans="1:24" s="7" customFormat="1" x14ac:dyDescent="0.3">
      <c r="A466" t="s">
        <v>601</v>
      </c>
      <c r="B466" t="s">
        <v>777</v>
      </c>
      <c r="C466"/>
      <c r="D466"/>
      <c r="E466"/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  <c r="T466"/>
      <c r="U466"/>
      <c r="V466"/>
      <c r="W466" s="64" t="s">
        <v>813</v>
      </c>
      <c r="X466" s="98">
        <f>X457</f>
        <v>1735653.1029999999</v>
      </c>
    </row>
    <row r="467" spans="1:24" s="7" customFormat="1" x14ac:dyDescent="0.3">
      <c r="A467" t="s">
        <v>601</v>
      </c>
      <c r="B467" t="s">
        <v>777</v>
      </c>
      <c r="C467"/>
      <c r="D467"/>
      <c r="E467"/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/>
      <c r="U467"/>
      <c r="V467"/>
      <c r="W467" s="64" t="s">
        <v>814</v>
      </c>
      <c r="X467" s="98">
        <f>X451+X453+X458</f>
        <v>500684332.41299999</v>
      </c>
    </row>
    <row r="468" spans="1:24" s="7" customFormat="1" x14ac:dyDescent="0.3">
      <c r="A468" t="s">
        <v>601</v>
      </c>
      <c r="B468" t="s">
        <v>777</v>
      </c>
      <c r="C468"/>
      <c r="D468"/>
      <c r="E468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  <c r="V468"/>
      <c r="W468" s="104" t="s">
        <v>815</v>
      </c>
      <c r="X468" s="105">
        <f>X451</f>
        <v>57607252.990999997</v>
      </c>
    </row>
    <row r="469" spans="1:24" s="7" customFormat="1" x14ac:dyDescent="0.3">
      <c r="A469" t="s">
        <v>601</v>
      </c>
      <c r="B469" t="s">
        <v>777</v>
      </c>
      <c r="C469"/>
      <c r="D469"/>
      <c r="E469"/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  <c r="U469"/>
      <c r="V469"/>
      <c r="W469" s="104" t="s">
        <v>829</v>
      </c>
      <c r="X469" s="105">
        <f>X452</f>
        <v>57607552.990999997</v>
      </c>
    </row>
    <row r="470" spans="1:24" s="7" customFormat="1" x14ac:dyDescent="0.3">
      <c r="A470" t="s">
        <v>601</v>
      </c>
      <c r="B470" t="s">
        <v>777</v>
      </c>
      <c r="C470"/>
      <c r="D470"/>
      <c r="E470"/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  <c r="T470"/>
      <c r="U470"/>
      <c r="V470"/>
      <c r="W470" s="104" t="s">
        <v>830</v>
      </c>
      <c r="X470" s="105">
        <f>X453</f>
        <v>62280417.979999997</v>
      </c>
    </row>
    <row r="471" spans="1:24" s="7" customFormat="1" x14ac:dyDescent="0.3">
      <c r="A471" t="s">
        <v>601</v>
      </c>
      <c r="B471" t="s">
        <v>777</v>
      </c>
      <c r="C471"/>
      <c r="D471"/>
      <c r="E471"/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/>
      <c r="U471"/>
      <c r="V471"/>
      <c r="W471" s="104" t="s">
        <v>831</v>
      </c>
      <c r="X471" s="105">
        <f>X454</f>
        <v>52153517.979999997</v>
      </c>
    </row>
    <row r="472" spans="1:24" s="7" customFormat="1" x14ac:dyDescent="0.3">
      <c r="A472" t="s">
        <v>601</v>
      </c>
      <c r="B472" t="s">
        <v>777</v>
      </c>
      <c r="C472"/>
      <c r="D472"/>
      <c r="E472"/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/>
      <c r="U472"/>
      <c r="V472"/>
      <c r="W472" s="104" t="s">
        <v>832</v>
      </c>
      <c r="X472" s="105">
        <f>X455</f>
        <v>10126900</v>
      </c>
    </row>
    <row r="473" spans="1:24" s="7" customFormat="1" x14ac:dyDescent="0.3">
      <c r="A473" t="s">
        <v>601</v>
      </c>
      <c r="B473" t="s">
        <v>777</v>
      </c>
      <c r="C473"/>
      <c r="D473"/>
      <c r="E473"/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  <c r="T473"/>
      <c r="U473"/>
      <c r="V473"/>
      <c r="W473" s="104" t="s">
        <v>833</v>
      </c>
      <c r="X473" s="105">
        <f>X456+X457+X458</f>
        <v>389355038.26699996</v>
      </c>
    </row>
    <row r="474" spans="1:24" s="7" customFormat="1" x14ac:dyDescent="0.3">
      <c r="A474" t="s">
        <v>601</v>
      </c>
      <c r="B474" t="s">
        <v>777</v>
      </c>
      <c r="C474"/>
      <c r="D474"/>
      <c r="E474"/>
      <c r="F474"/>
      <c r="G474"/>
      <c r="H474"/>
      <c r="I474"/>
      <c r="J474"/>
      <c r="K474"/>
      <c r="L474"/>
      <c r="M474"/>
      <c r="N474"/>
      <c r="O474"/>
      <c r="P474"/>
      <c r="Q474"/>
      <c r="R474"/>
      <c r="S474"/>
      <c r="T474"/>
      <c r="U474"/>
      <c r="V474"/>
      <c r="W474" s="104" t="s">
        <v>834</v>
      </c>
      <c r="X474" s="105">
        <f>X459</f>
        <v>113900864.18700001</v>
      </c>
    </row>
    <row r="475" spans="1:24" s="7" customFormat="1" x14ac:dyDescent="0.3">
      <c r="A475" t="s">
        <v>601</v>
      </c>
      <c r="B475" t="s">
        <v>777</v>
      </c>
      <c r="C475"/>
      <c r="D475"/>
      <c r="E475"/>
      <c r="F475"/>
      <c r="G475"/>
      <c r="H475"/>
      <c r="I475"/>
      <c r="J475"/>
      <c r="K475"/>
      <c r="L475"/>
      <c r="M475"/>
      <c r="N475"/>
      <c r="O475"/>
      <c r="P475"/>
      <c r="Q475"/>
      <c r="R475"/>
      <c r="S475"/>
      <c r="T475"/>
      <c r="U475"/>
      <c r="V475"/>
      <c r="W475" s="104" t="s">
        <v>835</v>
      </c>
      <c r="X475" s="105">
        <f>X460+X461</f>
        <v>268600420.75299996</v>
      </c>
    </row>
    <row r="476" spans="1:24" s="7" customFormat="1" x14ac:dyDescent="0.3">
      <c r="A476" t="s">
        <v>601</v>
      </c>
      <c r="B476" t="s">
        <v>777</v>
      </c>
      <c r="C476"/>
      <c r="D476"/>
      <c r="E476"/>
      <c r="F476"/>
      <c r="G476"/>
      <c r="H476"/>
      <c r="I476"/>
      <c r="J476"/>
      <c r="K476"/>
      <c r="L476"/>
      <c r="M476"/>
      <c r="N476"/>
      <c r="O476"/>
      <c r="P476"/>
      <c r="Q476"/>
      <c r="R476"/>
      <c r="S476"/>
      <c r="T476"/>
      <c r="U476"/>
      <c r="V476"/>
      <c r="W476" s="104" t="s">
        <v>836</v>
      </c>
      <c r="X476" s="105">
        <f>X462</f>
        <v>1004358.373</v>
      </c>
    </row>
    <row r="477" spans="1:24" s="7" customFormat="1" x14ac:dyDescent="0.3">
      <c r="A477" t="s">
        <v>601</v>
      </c>
      <c r="B477" t="s">
        <v>777</v>
      </c>
      <c r="C477"/>
      <c r="D477"/>
      <c r="E477"/>
      <c r="F477"/>
      <c r="G477"/>
      <c r="H477"/>
      <c r="I477"/>
      <c r="J477"/>
      <c r="K477"/>
      <c r="L477"/>
      <c r="M477"/>
      <c r="N477"/>
      <c r="O477"/>
      <c r="P477"/>
      <c r="Q477"/>
      <c r="R477"/>
      <c r="S477"/>
      <c r="T477"/>
      <c r="U477"/>
      <c r="V477"/>
      <c r="W477" s="104" t="s">
        <v>837</v>
      </c>
      <c r="X477" s="105">
        <f>X463+X464</f>
        <v>5849394.9539999999</v>
      </c>
    </row>
    <row r="478" spans="1:24" s="7" customFormat="1" x14ac:dyDescent="0.3">
      <c r="A478" t="s">
        <v>601</v>
      </c>
      <c r="B478" t="s">
        <v>777</v>
      </c>
      <c r="C478"/>
      <c r="D478"/>
      <c r="E478"/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  <c r="T478"/>
      <c r="U478"/>
      <c r="V478"/>
      <c r="W478" s="106" t="s">
        <v>838</v>
      </c>
      <c r="X478" s="105">
        <f>X451+X453+X456+X457+X458</f>
        <v>509242709.23799998</v>
      </c>
    </row>
    <row r="479" spans="1:24" s="7" customFormat="1" x14ac:dyDescent="0.3">
      <c r="A479" t="s">
        <v>601</v>
      </c>
      <c r="B479" t="s">
        <v>777</v>
      </c>
      <c r="C479"/>
      <c r="D479"/>
      <c r="E479"/>
      <c r="F479"/>
      <c r="G479"/>
      <c r="H479"/>
      <c r="I479"/>
      <c r="J479"/>
      <c r="K479"/>
      <c r="L479"/>
      <c r="M479"/>
      <c r="N479"/>
      <c r="O479"/>
      <c r="P479"/>
      <c r="Q479"/>
      <c r="R479"/>
      <c r="S479"/>
      <c r="T479"/>
      <c r="U479"/>
      <c r="V479"/>
      <c r="W479" t="s">
        <v>816</v>
      </c>
      <c r="X479" s="103">
        <v>23170000000</v>
      </c>
    </row>
    <row r="480" spans="1:24" s="7" customFormat="1" x14ac:dyDescent="0.3">
      <c r="A480" t="s">
        <v>601</v>
      </c>
      <c r="B480" t="s">
        <v>777</v>
      </c>
      <c r="C480"/>
      <c r="D480"/>
      <c r="E480"/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  <c r="T480"/>
      <c r="U480"/>
      <c r="V480"/>
      <c r="W480" t="s">
        <v>817</v>
      </c>
      <c r="X480" s="103">
        <v>4320000000</v>
      </c>
    </row>
    <row r="481" spans="1:24" s="7" customFormat="1" x14ac:dyDescent="0.3">
      <c r="A481" t="s">
        <v>601</v>
      </c>
      <c r="B481" t="s">
        <v>777</v>
      </c>
      <c r="C481"/>
      <c r="D481"/>
      <c r="E481"/>
      <c r="F481"/>
      <c r="G481"/>
      <c r="H481"/>
      <c r="I481"/>
      <c r="J481"/>
      <c r="K481"/>
      <c r="L481"/>
      <c r="M481"/>
      <c r="N481"/>
      <c r="O481"/>
      <c r="P481"/>
      <c r="Q481"/>
      <c r="R481"/>
      <c r="S481"/>
      <c r="T481"/>
      <c r="U481"/>
      <c r="V481"/>
      <c r="W481" t="s">
        <v>818</v>
      </c>
      <c r="X481" s="103">
        <v>28490000000</v>
      </c>
    </row>
    <row r="482" spans="1:24" s="7" customFormat="1" x14ac:dyDescent="0.3">
      <c r="A482" t="s">
        <v>601</v>
      </c>
      <c r="B482" t="s">
        <v>777</v>
      </c>
      <c r="C482"/>
      <c r="D482"/>
      <c r="E482"/>
      <c r="F482"/>
      <c r="G482"/>
      <c r="H482"/>
      <c r="I482"/>
      <c r="J482"/>
      <c r="K482"/>
      <c r="L482"/>
      <c r="M482"/>
      <c r="N482"/>
      <c r="O482"/>
      <c r="P482"/>
      <c r="Q482"/>
      <c r="R482"/>
      <c r="S482"/>
      <c r="T482"/>
      <c r="U482"/>
      <c r="V482"/>
      <c r="W482" t="s">
        <v>819</v>
      </c>
      <c r="X482" s="103">
        <v>21140000000</v>
      </c>
    </row>
    <row r="483" spans="1:24" s="7" customFormat="1" x14ac:dyDescent="0.3">
      <c r="A483" t="s">
        <v>601</v>
      </c>
      <c r="B483" t="s">
        <v>777</v>
      </c>
      <c r="C483"/>
      <c r="D483"/>
      <c r="E483"/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  <c r="T483"/>
      <c r="U483"/>
      <c r="V483"/>
      <c r="W483" t="s">
        <v>820</v>
      </c>
      <c r="X483" s="103">
        <v>47550000000</v>
      </c>
    </row>
    <row r="484" spans="1:24" s="7" customFormat="1" x14ac:dyDescent="0.3">
      <c r="A484" t="s">
        <v>601</v>
      </c>
      <c r="B484" t="s">
        <v>777</v>
      </c>
      <c r="C484"/>
      <c r="D484"/>
      <c r="E484"/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  <c r="T484"/>
      <c r="U484"/>
      <c r="V484"/>
      <c r="W484" t="s">
        <v>821</v>
      </c>
      <c r="X484" s="103">
        <v>151730000000</v>
      </c>
    </row>
    <row r="485" spans="1:24" s="7" customFormat="1" x14ac:dyDescent="0.3">
      <c r="A485" t="s">
        <v>601</v>
      </c>
      <c r="B485" t="s">
        <v>777</v>
      </c>
      <c r="C485"/>
      <c r="D485"/>
      <c r="E485"/>
      <c r="F485"/>
      <c r="G485"/>
      <c r="H485"/>
      <c r="I485"/>
      <c r="J485"/>
      <c r="K485"/>
      <c r="L485"/>
      <c r="M485"/>
      <c r="N485"/>
      <c r="O485"/>
      <c r="P485"/>
      <c r="Q485"/>
      <c r="R485"/>
      <c r="S485"/>
      <c r="T485"/>
      <c r="U485"/>
      <c r="V485"/>
      <c r="W485" t="s">
        <v>822</v>
      </c>
      <c r="X485" s="103">
        <v>236450000000</v>
      </c>
    </row>
    <row r="486" spans="1:24" s="7" customFormat="1" x14ac:dyDescent="0.3">
      <c r="A486" t="s">
        <v>601</v>
      </c>
      <c r="B486" t="s">
        <v>777</v>
      </c>
      <c r="C486"/>
      <c r="D486"/>
      <c r="E486"/>
      <c r="F486"/>
      <c r="G486"/>
      <c r="H486"/>
      <c r="I486"/>
      <c r="J486"/>
      <c r="K486"/>
      <c r="L486"/>
      <c r="M486"/>
      <c r="N486"/>
      <c r="O486"/>
      <c r="P486"/>
      <c r="Q486"/>
      <c r="R486"/>
      <c r="S486"/>
      <c r="T486"/>
      <c r="U486"/>
      <c r="V486"/>
      <c r="W486" t="s">
        <v>823</v>
      </c>
      <c r="X486" s="103">
        <v>94300000000</v>
      </c>
    </row>
    <row r="487" spans="1:24" s="7" customFormat="1" x14ac:dyDescent="0.3">
      <c r="A487" t="s">
        <v>601</v>
      </c>
      <c r="B487" t="s">
        <v>777</v>
      </c>
      <c r="C487"/>
      <c r="D487"/>
      <c r="E487"/>
      <c r="F487"/>
      <c r="G487"/>
      <c r="H487"/>
      <c r="I487"/>
      <c r="J487"/>
      <c r="K487"/>
      <c r="L487"/>
      <c r="M487"/>
      <c r="N487"/>
      <c r="O487"/>
      <c r="P487"/>
      <c r="Q487"/>
      <c r="R487"/>
      <c r="S487"/>
      <c r="T487"/>
      <c r="U487"/>
      <c r="V487"/>
      <c r="W487" t="s">
        <v>824</v>
      </c>
      <c r="X487" s="103">
        <v>177550000000</v>
      </c>
    </row>
    <row r="488" spans="1:24" s="7" customFormat="1" x14ac:dyDescent="0.3">
      <c r="A488" t="s">
        <v>601</v>
      </c>
      <c r="B488" t="s">
        <v>777</v>
      </c>
      <c r="C488"/>
      <c r="D488"/>
      <c r="E488"/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  <c r="T488"/>
      <c r="U488"/>
      <c r="V488"/>
      <c r="W488" t="s">
        <v>825</v>
      </c>
      <c r="X488" s="103">
        <v>421710000000</v>
      </c>
    </row>
    <row r="489" spans="1:24" s="7" customFormat="1" x14ac:dyDescent="0.3">
      <c r="A489" t="s">
        <v>601</v>
      </c>
      <c r="B489" t="s">
        <v>777</v>
      </c>
      <c r="C489"/>
      <c r="D489"/>
      <c r="E489"/>
      <c r="F489"/>
      <c r="G489"/>
      <c r="H489"/>
      <c r="I489"/>
      <c r="J489"/>
      <c r="K489"/>
      <c r="L489"/>
      <c r="M489"/>
      <c r="N489"/>
      <c r="O489"/>
      <c r="P489"/>
      <c r="Q489"/>
      <c r="R489"/>
      <c r="S489"/>
      <c r="T489"/>
      <c r="U489"/>
      <c r="V489"/>
      <c r="W489" t="s">
        <v>826</v>
      </c>
      <c r="X489" s="103">
        <v>1090000000000</v>
      </c>
    </row>
    <row r="490" spans="1:24" s="7" customFormat="1" x14ac:dyDescent="0.3">
      <c r="A490" t="s">
        <v>601</v>
      </c>
      <c r="B490" t="s">
        <v>777</v>
      </c>
      <c r="C490"/>
      <c r="D490"/>
      <c r="E490"/>
      <c r="F490"/>
      <c r="G490"/>
      <c r="H490"/>
      <c r="I490"/>
      <c r="J490"/>
      <c r="K490"/>
      <c r="L490"/>
      <c r="M490"/>
      <c r="N490"/>
      <c r="O490"/>
      <c r="P490"/>
      <c r="Q490"/>
      <c r="R490"/>
      <c r="S490"/>
      <c r="T490"/>
      <c r="U490"/>
      <c r="V490"/>
      <c r="W490" t="s">
        <v>827</v>
      </c>
      <c r="X490" s="93">
        <f>X478</f>
        <v>509242709.23799998</v>
      </c>
    </row>
    <row r="491" spans="1:24" s="7" customFormat="1" x14ac:dyDescent="0.3">
      <c r="A491" t="s">
        <v>601</v>
      </c>
      <c r="B491" t="s">
        <v>777</v>
      </c>
      <c r="C491"/>
      <c r="D491"/>
      <c r="E491"/>
      <c r="F491"/>
      <c r="G491"/>
      <c r="H491"/>
      <c r="I491"/>
      <c r="J491"/>
      <c r="K491"/>
      <c r="L491"/>
      <c r="M491"/>
      <c r="N491"/>
      <c r="O491"/>
      <c r="P491"/>
      <c r="Q491"/>
      <c r="R491"/>
      <c r="S491"/>
      <c r="T491"/>
      <c r="U491"/>
      <c r="V491"/>
      <c r="W491" t="s">
        <v>828</v>
      </c>
      <c r="X491" s="93">
        <f>X450</f>
        <v>259556960.04600003</v>
      </c>
    </row>
    <row r="492" spans="1:24" s="7" customFormat="1" x14ac:dyDescent="0.3">
      <c r="A492" t="s">
        <v>601</v>
      </c>
      <c r="B492" t="s">
        <v>840</v>
      </c>
      <c r="C492"/>
      <c r="D492"/>
      <c r="E492"/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  <c r="T492"/>
      <c r="U492"/>
      <c r="V492"/>
      <c r="W492" s="111" t="s">
        <v>853</v>
      </c>
      <c r="X492" s="112">
        <f>X493+X499+X504+X508+X512+X515</f>
        <v>204.53322499999996</v>
      </c>
    </row>
    <row r="493" spans="1:24" s="7" customFormat="1" x14ac:dyDescent="0.3">
      <c r="A493" t="s">
        <v>601</v>
      </c>
      <c r="B493" t="s">
        <v>840</v>
      </c>
      <c r="C493"/>
      <c r="D493"/>
      <c r="E493"/>
      <c r="F493"/>
      <c r="G493"/>
      <c r="H493"/>
      <c r="I493"/>
      <c r="J493"/>
      <c r="K493"/>
      <c r="L493"/>
      <c r="M493"/>
      <c r="N493"/>
      <c r="O493"/>
      <c r="P493"/>
      <c r="Q493"/>
      <c r="R493"/>
      <c r="S493"/>
      <c r="T493"/>
      <c r="U493"/>
      <c r="V493"/>
      <c r="W493" s="113" t="s">
        <v>854</v>
      </c>
      <c r="X493" s="99">
        <f>SUM(X494:X498)</f>
        <v>13.465499999999997</v>
      </c>
    </row>
    <row r="494" spans="1:24" s="7" customFormat="1" x14ac:dyDescent="0.3">
      <c r="A494" t="s">
        <v>601</v>
      </c>
      <c r="B494" t="s">
        <v>840</v>
      </c>
      <c r="C494"/>
      <c r="D494"/>
      <c r="E494"/>
      <c r="F494"/>
      <c r="G494"/>
      <c r="H494"/>
      <c r="I494"/>
      <c r="J494"/>
      <c r="K494"/>
      <c r="L494"/>
      <c r="M494"/>
      <c r="N494"/>
      <c r="O494"/>
      <c r="P494"/>
      <c r="Q494"/>
      <c r="R494"/>
      <c r="S494"/>
      <c r="T494"/>
      <c r="U494"/>
      <c r="V494"/>
      <c r="W494" s="107" t="s">
        <v>855</v>
      </c>
      <c r="X494">
        <v>0.01</v>
      </c>
    </row>
    <row r="495" spans="1:24" s="7" customFormat="1" x14ac:dyDescent="0.3">
      <c r="A495" t="s">
        <v>601</v>
      </c>
      <c r="B495" t="s">
        <v>840</v>
      </c>
      <c r="C495"/>
      <c r="D495"/>
      <c r="E495"/>
      <c r="F495"/>
      <c r="G495"/>
      <c r="H495"/>
      <c r="I495"/>
      <c r="J495"/>
      <c r="K495"/>
      <c r="L495"/>
      <c r="M495"/>
      <c r="N495"/>
      <c r="O495"/>
      <c r="P495"/>
      <c r="Q495"/>
      <c r="R495"/>
      <c r="S495"/>
      <c r="T495"/>
      <c r="U495"/>
      <c r="V495"/>
      <c r="W495" s="107" t="s">
        <v>856</v>
      </c>
      <c r="X495">
        <v>6.5000000000000002E-2</v>
      </c>
    </row>
    <row r="496" spans="1:24" s="7" customFormat="1" x14ac:dyDescent="0.3">
      <c r="A496" t="s">
        <v>601</v>
      </c>
      <c r="B496" t="s">
        <v>840</v>
      </c>
      <c r="C496"/>
      <c r="D496"/>
      <c r="E496"/>
      <c r="F496"/>
      <c r="G496"/>
      <c r="H496"/>
      <c r="I496"/>
      <c r="J496"/>
      <c r="K496"/>
      <c r="L496"/>
      <c r="M496"/>
      <c r="N496"/>
      <c r="O496"/>
      <c r="P496"/>
      <c r="Q496"/>
      <c r="R496"/>
      <c r="S496"/>
      <c r="T496"/>
      <c r="U496"/>
      <c r="V496"/>
      <c r="W496" s="107" t="s">
        <v>844</v>
      </c>
      <c r="X496">
        <v>11.171499999999998</v>
      </c>
    </row>
    <row r="497" spans="1:24" s="7" customFormat="1" x14ac:dyDescent="0.3">
      <c r="A497" t="s">
        <v>601</v>
      </c>
      <c r="B497" t="s">
        <v>840</v>
      </c>
      <c r="C497"/>
      <c r="D497"/>
      <c r="E497"/>
      <c r="F497"/>
      <c r="G497"/>
      <c r="H497"/>
      <c r="I497"/>
      <c r="J497"/>
      <c r="K497"/>
      <c r="L497"/>
      <c r="M497"/>
      <c r="N497"/>
      <c r="O497"/>
      <c r="P497"/>
      <c r="Q497"/>
      <c r="R497"/>
      <c r="S497"/>
      <c r="T497"/>
      <c r="U497"/>
      <c r="V497"/>
      <c r="W497" s="107" t="s">
        <v>845</v>
      </c>
      <c r="X497">
        <v>0.32999999999999996</v>
      </c>
    </row>
    <row r="498" spans="1:24" s="7" customFormat="1" x14ac:dyDescent="0.3">
      <c r="A498" t="s">
        <v>601</v>
      </c>
      <c r="B498" t="s">
        <v>840</v>
      </c>
      <c r="C498"/>
      <c r="D498"/>
      <c r="E498"/>
      <c r="F498"/>
      <c r="G498"/>
      <c r="H498"/>
      <c r="I498"/>
      <c r="J498"/>
      <c r="K498"/>
      <c r="L498"/>
      <c r="M498"/>
      <c r="N498"/>
      <c r="O498"/>
      <c r="P498"/>
      <c r="Q498"/>
      <c r="R498"/>
      <c r="S498"/>
      <c r="T498"/>
      <c r="U498"/>
      <c r="V498"/>
      <c r="W498" s="107" t="s">
        <v>846</v>
      </c>
      <c r="X498">
        <v>1.889</v>
      </c>
    </row>
    <row r="499" spans="1:24" s="7" customFormat="1" x14ac:dyDescent="0.3">
      <c r="A499" t="s">
        <v>601</v>
      </c>
      <c r="B499" t="s">
        <v>840</v>
      </c>
      <c r="C499"/>
      <c r="D499"/>
      <c r="E499"/>
      <c r="F499"/>
      <c r="G499"/>
      <c r="H499"/>
      <c r="I499"/>
      <c r="J499"/>
      <c r="K499"/>
      <c r="L499"/>
      <c r="M499"/>
      <c r="N499"/>
      <c r="O499"/>
      <c r="P499"/>
      <c r="Q499"/>
      <c r="R499"/>
      <c r="S499"/>
      <c r="T499"/>
      <c r="U499"/>
      <c r="V499"/>
      <c r="W499" s="113" t="s">
        <v>847</v>
      </c>
      <c r="X499" s="99">
        <f>SUM(X500:X503)</f>
        <v>78.189524999999989</v>
      </c>
    </row>
    <row r="500" spans="1:24" s="7" customFormat="1" x14ac:dyDescent="0.3">
      <c r="A500" t="s">
        <v>601</v>
      </c>
      <c r="B500" t="s">
        <v>840</v>
      </c>
      <c r="C500"/>
      <c r="D500"/>
      <c r="E500"/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  <c r="T500"/>
      <c r="U500"/>
      <c r="V500"/>
      <c r="W500" s="107" t="s">
        <v>842</v>
      </c>
      <c r="X500">
        <v>0.26</v>
      </c>
    </row>
    <row r="501" spans="1:24" s="7" customFormat="1" x14ac:dyDescent="0.3">
      <c r="A501" t="s">
        <v>601</v>
      </c>
      <c r="B501" t="s">
        <v>840</v>
      </c>
      <c r="C501"/>
      <c r="D501"/>
      <c r="E501"/>
      <c r="F501"/>
      <c r="G501"/>
      <c r="H501"/>
      <c r="I501"/>
      <c r="J501"/>
      <c r="K501"/>
      <c r="L501"/>
      <c r="M501"/>
      <c r="N501"/>
      <c r="O501"/>
      <c r="P501"/>
      <c r="Q501"/>
      <c r="R501"/>
      <c r="S501"/>
      <c r="T501"/>
      <c r="U501"/>
      <c r="V501"/>
      <c r="W501" s="107" t="s">
        <v>844</v>
      </c>
      <c r="X501">
        <v>23.293484999999997</v>
      </c>
    </row>
    <row r="502" spans="1:24" s="7" customFormat="1" x14ac:dyDescent="0.3">
      <c r="A502" t="s">
        <v>601</v>
      </c>
      <c r="B502" t="s">
        <v>840</v>
      </c>
      <c r="C502"/>
      <c r="D502"/>
      <c r="E502"/>
      <c r="F502"/>
      <c r="G502"/>
      <c r="H502"/>
      <c r="I502"/>
      <c r="J502"/>
      <c r="K502"/>
      <c r="L502"/>
      <c r="M502"/>
      <c r="N502"/>
      <c r="O502"/>
      <c r="P502"/>
      <c r="Q502"/>
      <c r="R502"/>
      <c r="S502"/>
      <c r="T502"/>
      <c r="U502"/>
      <c r="V502"/>
      <c r="W502" s="107" t="s">
        <v>845</v>
      </c>
      <c r="X502">
        <v>1.0180899999999999</v>
      </c>
    </row>
    <row r="503" spans="1:24" s="7" customFormat="1" x14ac:dyDescent="0.3">
      <c r="A503" t="s">
        <v>601</v>
      </c>
      <c r="B503" t="s">
        <v>840</v>
      </c>
      <c r="C503"/>
      <c r="D503"/>
      <c r="E503"/>
      <c r="F503"/>
      <c r="G503"/>
      <c r="H503"/>
      <c r="I503"/>
      <c r="J503"/>
      <c r="K503"/>
      <c r="L503"/>
      <c r="M503"/>
      <c r="N503"/>
      <c r="O503"/>
      <c r="P503"/>
      <c r="Q503"/>
      <c r="R503"/>
      <c r="S503"/>
      <c r="T503"/>
      <c r="U503"/>
      <c r="V503"/>
      <c r="W503" s="107" t="s">
        <v>846</v>
      </c>
      <c r="X503">
        <v>53.617949999999986</v>
      </c>
    </row>
    <row r="504" spans="1:24" s="7" customFormat="1" x14ac:dyDescent="0.3">
      <c r="A504" t="s">
        <v>601</v>
      </c>
      <c r="B504" t="s">
        <v>840</v>
      </c>
      <c r="C504"/>
      <c r="D504"/>
      <c r="E504"/>
      <c r="F504"/>
      <c r="G504"/>
      <c r="H504"/>
      <c r="I504"/>
      <c r="J504"/>
      <c r="K504"/>
      <c r="L504"/>
      <c r="M504"/>
      <c r="N504"/>
      <c r="O504"/>
      <c r="P504"/>
      <c r="Q504"/>
      <c r="R504"/>
      <c r="S504"/>
      <c r="T504"/>
      <c r="U504"/>
      <c r="V504"/>
      <c r="W504" s="113" t="s">
        <v>843</v>
      </c>
      <c r="X504" s="99">
        <f>SUM(X505:X507)</f>
        <v>0.11</v>
      </c>
    </row>
    <row r="505" spans="1:24" s="7" customFormat="1" x14ac:dyDescent="0.3">
      <c r="A505" t="s">
        <v>601</v>
      </c>
      <c r="B505" t="s">
        <v>840</v>
      </c>
      <c r="C505"/>
      <c r="D505"/>
      <c r="E505"/>
      <c r="F505"/>
      <c r="G505"/>
      <c r="H505"/>
      <c r="I505"/>
      <c r="J505"/>
      <c r="K505"/>
      <c r="L505"/>
      <c r="M505"/>
      <c r="N505"/>
      <c r="O505"/>
      <c r="P505"/>
      <c r="Q505"/>
      <c r="R505"/>
      <c r="S505"/>
      <c r="T505"/>
      <c r="U505"/>
      <c r="V505"/>
      <c r="W505" s="107" t="s">
        <v>844</v>
      </c>
      <c r="X505">
        <v>0</v>
      </c>
    </row>
    <row r="506" spans="1:24" s="7" customFormat="1" x14ac:dyDescent="0.3">
      <c r="A506" t="s">
        <v>601</v>
      </c>
      <c r="B506" t="s">
        <v>840</v>
      </c>
      <c r="C506"/>
      <c r="D506"/>
      <c r="E506"/>
      <c r="F506"/>
      <c r="G506"/>
      <c r="H506"/>
      <c r="I506"/>
      <c r="J506"/>
      <c r="K506"/>
      <c r="L506"/>
      <c r="M506"/>
      <c r="N506"/>
      <c r="O506"/>
      <c r="P506"/>
      <c r="Q506"/>
      <c r="R506"/>
      <c r="S506"/>
      <c r="T506"/>
      <c r="U506"/>
      <c r="V506"/>
      <c r="W506" s="107" t="s">
        <v>845</v>
      </c>
      <c r="X506">
        <v>0</v>
      </c>
    </row>
    <row r="507" spans="1:24" s="7" customFormat="1" x14ac:dyDescent="0.3">
      <c r="A507" t="s">
        <v>601</v>
      </c>
      <c r="B507" t="s">
        <v>840</v>
      </c>
      <c r="C507"/>
      <c r="D507"/>
      <c r="E507"/>
      <c r="F507"/>
      <c r="G507"/>
      <c r="H507"/>
      <c r="I507"/>
      <c r="J507"/>
      <c r="K507"/>
      <c r="L507"/>
      <c r="M507"/>
      <c r="N507"/>
      <c r="O507"/>
      <c r="P507"/>
      <c r="Q507"/>
      <c r="R507"/>
      <c r="S507"/>
      <c r="T507"/>
      <c r="U507"/>
      <c r="V507"/>
      <c r="W507" s="107" t="s">
        <v>846</v>
      </c>
      <c r="X507">
        <v>0.11</v>
      </c>
    </row>
    <row r="508" spans="1:24" s="7" customFormat="1" x14ac:dyDescent="0.3">
      <c r="A508" t="s">
        <v>601</v>
      </c>
      <c r="B508" t="s">
        <v>840</v>
      </c>
      <c r="C508"/>
      <c r="D508"/>
      <c r="E508"/>
      <c r="F508"/>
      <c r="G508"/>
      <c r="H508"/>
      <c r="I508"/>
      <c r="J508"/>
      <c r="K508"/>
      <c r="L508"/>
      <c r="M508"/>
      <c r="N508"/>
      <c r="O508"/>
      <c r="P508"/>
      <c r="Q508"/>
      <c r="R508"/>
      <c r="S508"/>
      <c r="T508"/>
      <c r="U508"/>
      <c r="V508"/>
      <c r="W508" s="113" t="s">
        <v>848</v>
      </c>
      <c r="X508" s="99">
        <f>SUM(X509:X511)</f>
        <v>2.5190000000000001</v>
      </c>
    </row>
    <row r="509" spans="1:24" s="7" customFormat="1" x14ac:dyDescent="0.3">
      <c r="A509" t="s">
        <v>601</v>
      </c>
      <c r="B509" t="s">
        <v>840</v>
      </c>
      <c r="C509"/>
      <c r="D509"/>
      <c r="E509"/>
      <c r="F509"/>
      <c r="G509"/>
      <c r="H509"/>
      <c r="I509"/>
      <c r="J509"/>
      <c r="K509"/>
      <c r="L509"/>
      <c r="M509"/>
      <c r="N509"/>
      <c r="O509"/>
      <c r="P509"/>
      <c r="Q509"/>
      <c r="R509"/>
      <c r="S509"/>
      <c r="T509"/>
      <c r="U509"/>
      <c r="V509"/>
      <c r="W509" s="107" t="s">
        <v>843</v>
      </c>
      <c r="X509">
        <v>0</v>
      </c>
    </row>
    <row r="510" spans="1:24" s="7" customFormat="1" x14ac:dyDescent="0.3">
      <c r="A510" t="s">
        <v>601</v>
      </c>
      <c r="B510" t="s">
        <v>840</v>
      </c>
      <c r="C510"/>
      <c r="D510"/>
      <c r="E510"/>
      <c r="F510"/>
      <c r="G510"/>
      <c r="H510"/>
      <c r="I510"/>
      <c r="J510"/>
      <c r="K510"/>
      <c r="L510"/>
      <c r="M510"/>
      <c r="N510"/>
      <c r="O510"/>
      <c r="P510"/>
      <c r="Q510"/>
      <c r="R510"/>
      <c r="S510"/>
      <c r="T510"/>
      <c r="U510"/>
      <c r="V510"/>
      <c r="W510" s="107" t="s">
        <v>844</v>
      </c>
      <c r="X510">
        <v>2.5190000000000001</v>
      </c>
    </row>
    <row r="511" spans="1:24" s="7" customFormat="1" x14ac:dyDescent="0.3">
      <c r="A511" t="s">
        <v>601</v>
      </c>
      <c r="B511" t="s">
        <v>840</v>
      </c>
      <c r="C511"/>
      <c r="D511"/>
      <c r="E511"/>
      <c r="F511"/>
      <c r="G511"/>
      <c r="H511"/>
      <c r="I511"/>
      <c r="J511"/>
      <c r="K511"/>
      <c r="L511"/>
      <c r="M511"/>
      <c r="N511"/>
      <c r="O511"/>
      <c r="P511"/>
      <c r="Q511"/>
      <c r="R511"/>
      <c r="S511"/>
      <c r="T511"/>
      <c r="U511"/>
      <c r="V511"/>
      <c r="W511" s="107" t="s">
        <v>846</v>
      </c>
      <c r="X511">
        <v>0</v>
      </c>
    </row>
    <row r="512" spans="1:24" s="7" customFormat="1" x14ac:dyDescent="0.3">
      <c r="A512" t="s">
        <v>601</v>
      </c>
      <c r="B512" t="s">
        <v>840</v>
      </c>
      <c r="C512"/>
      <c r="D512"/>
      <c r="E512"/>
      <c r="F512"/>
      <c r="G512"/>
      <c r="H512"/>
      <c r="I512"/>
      <c r="J512"/>
      <c r="K512"/>
      <c r="L512"/>
      <c r="M512"/>
      <c r="N512"/>
      <c r="O512"/>
      <c r="P512"/>
      <c r="Q512"/>
      <c r="R512"/>
      <c r="S512"/>
      <c r="T512"/>
      <c r="U512"/>
      <c r="V512"/>
      <c r="W512" s="113" t="s">
        <v>849</v>
      </c>
      <c r="X512" s="99">
        <f>SUM(X513:X514)</f>
        <v>2.238</v>
      </c>
    </row>
    <row r="513" spans="1:24" s="7" customFormat="1" x14ac:dyDescent="0.3">
      <c r="A513" t="s">
        <v>601</v>
      </c>
      <c r="B513" t="s">
        <v>840</v>
      </c>
      <c r="C513"/>
      <c r="D513"/>
      <c r="E513"/>
      <c r="F513"/>
      <c r="G513"/>
      <c r="H513"/>
      <c r="I513"/>
      <c r="J513"/>
      <c r="K513"/>
      <c r="L513"/>
      <c r="M513"/>
      <c r="N513"/>
      <c r="O513"/>
      <c r="P513"/>
      <c r="Q513"/>
      <c r="R513"/>
      <c r="S513"/>
      <c r="T513"/>
      <c r="U513"/>
      <c r="V513"/>
      <c r="W513" s="107" t="s">
        <v>844</v>
      </c>
      <c r="X513">
        <v>6.9000000000000006E-2</v>
      </c>
    </row>
    <row r="514" spans="1:24" s="7" customFormat="1" x14ac:dyDescent="0.3">
      <c r="A514" t="s">
        <v>601</v>
      </c>
      <c r="B514" t="s">
        <v>840</v>
      </c>
      <c r="C514"/>
      <c r="D514"/>
      <c r="E514"/>
      <c r="F514"/>
      <c r="G514"/>
      <c r="H514"/>
      <c r="I514"/>
      <c r="J514"/>
      <c r="K514"/>
      <c r="L514"/>
      <c r="M514"/>
      <c r="N514"/>
      <c r="O514"/>
      <c r="P514"/>
      <c r="Q514"/>
      <c r="R514"/>
      <c r="S514"/>
      <c r="T514"/>
      <c r="U514"/>
      <c r="V514"/>
      <c r="W514" s="107" t="s">
        <v>846</v>
      </c>
      <c r="X514">
        <v>2.169</v>
      </c>
    </row>
    <row r="515" spans="1:24" s="7" customFormat="1" x14ac:dyDescent="0.3">
      <c r="A515" t="s">
        <v>601</v>
      </c>
      <c r="B515" t="s">
        <v>840</v>
      </c>
      <c r="C515"/>
      <c r="D515"/>
      <c r="E515"/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  <c r="T515"/>
      <c r="U515"/>
      <c r="V515"/>
      <c r="W515" s="113" t="s">
        <v>850</v>
      </c>
      <c r="X515" s="99">
        <f>SUM(X516:X519)</f>
        <v>108.01119999999999</v>
      </c>
    </row>
    <row r="516" spans="1:24" s="7" customFormat="1" x14ac:dyDescent="0.3">
      <c r="A516" t="s">
        <v>601</v>
      </c>
      <c r="B516" t="s">
        <v>840</v>
      </c>
      <c r="C516"/>
      <c r="D516"/>
      <c r="E516"/>
      <c r="F516"/>
      <c r="G516"/>
      <c r="H516"/>
      <c r="I516"/>
      <c r="J516"/>
      <c r="K516"/>
      <c r="L516"/>
      <c r="M516"/>
      <c r="N516"/>
      <c r="O516"/>
      <c r="P516"/>
      <c r="Q516"/>
      <c r="R516"/>
      <c r="S516"/>
      <c r="T516"/>
      <c r="U516"/>
      <c r="V516"/>
      <c r="W516" s="107" t="s">
        <v>843</v>
      </c>
      <c r="X516">
        <v>0</v>
      </c>
    </row>
    <row r="517" spans="1:24" s="7" customFormat="1" x14ac:dyDescent="0.3">
      <c r="A517" t="s">
        <v>601</v>
      </c>
      <c r="B517" t="s">
        <v>840</v>
      </c>
      <c r="C517"/>
      <c r="D517"/>
      <c r="E517"/>
      <c r="F517"/>
      <c r="G517"/>
      <c r="H517"/>
      <c r="I517"/>
      <c r="J517"/>
      <c r="K517"/>
      <c r="L517"/>
      <c r="M517"/>
      <c r="N517"/>
      <c r="O517"/>
      <c r="P517"/>
      <c r="Q517"/>
      <c r="R517"/>
      <c r="S517"/>
      <c r="T517"/>
      <c r="U517"/>
      <c r="V517"/>
      <c r="W517" s="107" t="s">
        <v>844</v>
      </c>
      <c r="X517">
        <v>79.566199999999981</v>
      </c>
    </row>
    <row r="518" spans="1:24" s="7" customFormat="1" x14ac:dyDescent="0.3">
      <c r="A518" t="s">
        <v>601</v>
      </c>
      <c r="B518" t="s">
        <v>840</v>
      </c>
      <c r="C518"/>
      <c r="D518"/>
      <c r="E518"/>
      <c r="F518"/>
      <c r="G518"/>
      <c r="H518"/>
      <c r="I518"/>
      <c r="J518"/>
      <c r="K518"/>
      <c r="L518"/>
      <c r="M518"/>
      <c r="N518"/>
      <c r="O518"/>
      <c r="P518"/>
      <c r="Q518"/>
      <c r="R518"/>
      <c r="S518"/>
      <c r="T518"/>
      <c r="U518"/>
      <c r="V518"/>
      <c r="W518" s="107" t="s">
        <v>845</v>
      </c>
      <c r="X518">
        <v>2.0099999999999998</v>
      </c>
    </row>
    <row r="519" spans="1:24" s="7" customFormat="1" x14ac:dyDescent="0.3">
      <c r="A519" t="s">
        <v>601</v>
      </c>
      <c r="B519" t="s">
        <v>840</v>
      </c>
      <c r="C519"/>
      <c r="D519"/>
      <c r="E519"/>
      <c r="F519"/>
      <c r="G519"/>
      <c r="H519"/>
      <c r="I519"/>
      <c r="J519"/>
      <c r="K519"/>
      <c r="L519"/>
      <c r="M519"/>
      <c r="N519"/>
      <c r="O519"/>
      <c r="P519"/>
      <c r="Q519"/>
      <c r="R519"/>
      <c r="S519"/>
      <c r="T519"/>
      <c r="U519"/>
      <c r="V519"/>
      <c r="W519" s="107" t="s">
        <v>846</v>
      </c>
      <c r="X519">
        <v>26.434999999999999</v>
      </c>
    </row>
    <row r="520" spans="1:24" s="7" customFormat="1" x14ac:dyDescent="0.3">
      <c r="A520" t="s">
        <v>601</v>
      </c>
      <c r="B520" t="s">
        <v>840</v>
      </c>
      <c r="C520"/>
      <c r="D520"/>
      <c r="E520"/>
      <c r="F520"/>
      <c r="G520"/>
      <c r="H520"/>
      <c r="I520"/>
      <c r="J520"/>
      <c r="K520"/>
      <c r="L520"/>
      <c r="M520"/>
      <c r="N520"/>
      <c r="O520"/>
      <c r="P520"/>
      <c r="Q520"/>
      <c r="R520"/>
      <c r="S520"/>
      <c r="T520"/>
      <c r="U520"/>
      <c r="V520"/>
      <c r="W520" s="111" t="s">
        <v>851</v>
      </c>
      <c r="X520" s="112">
        <f>X521+X523+X525</f>
        <v>158.43328</v>
      </c>
    </row>
    <row r="521" spans="1:24" s="7" customFormat="1" x14ac:dyDescent="0.3">
      <c r="A521" t="s">
        <v>601</v>
      </c>
      <c r="B521" t="s">
        <v>840</v>
      </c>
      <c r="C521"/>
      <c r="D521"/>
      <c r="E521"/>
      <c r="F521"/>
      <c r="G521"/>
      <c r="H521"/>
      <c r="I521"/>
      <c r="J521"/>
      <c r="K521"/>
      <c r="L521"/>
      <c r="M521"/>
      <c r="N521"/>
      <c r="O521"/>
      <c r="P521"/>
      <c r="Q521"/>
      <c r="R521"/>
      <c r="S521"/>
      <c r="T521"/>
      <c r="U521"/>
      <c r="V521"/>
      <c r="W521" s="113" t="s">
        <v>847</v>
      </c>
      <c r="X521" s="99">
        <f>SUM(X522)</f>
        <v>35</v>
      </c>
    </row>
    <row r="522" spans="1:24" s="7" customFormat="1" x14ac:dyDescent="0.3">
      <c r="A522" t="s">
        <v>601</v>
      </c>
      <c r="B522" t="s">
        <v>840</v>
      </c>
      <c r="C522"/>
      <c r="D522"/>
      <c r="E522"/>
      <c r="F522"/>
      <c r="G522"/>
      <c r="H522"/>
      <c r="I522"/>
      <c r="J522"/>
      <c r="K522"/>
      <c r="L522"/>
      <c r="M522"/>
      <c r="N522"/>
      <c r="O522"/>
      <c r="P522"/>
      <c r="Q522"/>
      <c r="R522"/>
      <c r="S522"/>
      <c r="T522"/>
      <c r="U522"/>
      <c r="V522"/>
      <c r="W522" s="107" t="s">
        <v>844</v>
      </c>
      <c r="X522">
        <v>35</v>
      </c>
    </row>
    <row r="523" spans="1:24" s="7" customFormat="1" x14ac:dyDescent="0.3">
      <c r="A523" t="s">
        <v>601</v>
      </c>
      <c r="B523" t="s">
        <v>840</v>
      </c>
      <c r="C523"/>
      <c r="D523"/>
      <c r="E523"/>
      <c r="F523"/>
      <c r="G523"/>
      <c r="H523"/>
      <c r="I523"/>
      <c r="J523"/>
      <c r="K523"/>
      <c r="L523"/>
      <c r="M523"/>
      <c r="N523"/>
      <c r="O523"/>
      <c r="P523"/>
      <c r="Q523"/>
      <c r="R523"/>
      <c r="S523"/>
      <c r="T523"/>
      <c r="U523"/>
      <c r="V523"/>
      <c r="W523" s="113" t="s">
        <v>848</v>
      </c>
      <c r="X523" s="99">
        <f>SUM(X524)</f>
        <v>53.432279999999999</v>
      </c>
    </row>
    <row r="524" spans="1:24" s="7" customFormat="1" x14ac:dyDescent="0.3">
      <c r="A524" t="s">
        <v>601</v>
      </c>
      <c r="B524" t="s">
        <v>840</v>
      </c>
      <c r="C524"/>
      <c r="D524"/>
      <c r="E524"/>
      <c r="F524"/>
      <c r="G524"/>
      <c r="H524"/>
      <c r="I524"/>
      <c r="J524"/>
      <c r="K524"/>
      <c r="L524"/>
      <c r="M524"/>
      <c r="N524"/>
      <c r="O524"/>
      <c r="P524"/>
      <c r="Q524"/>
      <c r="R524"/>
      <c r="S524"/>
      <c r="T524"/>
      <c r="U524"/>
      <c r="V524"/>
      <c r="W524" s="107" t="s">
        <v>846</v>
      </c>
      <c r="X524">
        <v>53.432279999999999</v>
      </c>
    </row>
    <row r="525" spans="1:24" s="7" customFormat="1" x14ac:dyDescent="0.3">
      <c r="A525" t="s">
        <v>601</v>
      </c>
      <c r="B525" t="s">
        <v>840</v>
      </c>
      <c r="C525"/>
      <c r="D525"/>
      <c r="E525"/>
      <c r="F525"/>
      <c r="G525"/>
      <c r="H525"/>
      <c r="I525"/>
      <c r="J525"/>
      <c r="K525"/>
      <c r="L525"/>
      <c r="M525"/>
      <c r="N525"/>
      <c r="O525"/>
      <c r="P525"/>
      <c r="Q525"/>
      <c r="R525"/>
      <c r="S525"/>
      <c r="T525"/>
      <c r="U525"/>
      <c r="V525"/>
      <c r="W525" s="113" t="s">
        <v>850</v>
      </c>
      <c r="X525" s="99">
        <f>SUM(X526+X527)</f>
        <v>70.001000000000005</v>
      </c>
    </row>
    <row r="526" spans="1:24" s="7" customFormat="1" x14ac:dyDescent="0.3">
      <c r="A526" t="s">
        <v>601</v>
      </c>
      <c r="B526" t="s">
        <v>840</v>
      </c>
      <c r="C526"/>
      <c r="D526"/>
      <c r="E526"/>
      <c r="F526"/>
      <c r="G526"/>
      <c r="H526"/>
      <c r="I526"/>
      <c r="J526"/>
      <c r="K526"/>
      <c r="L526"/>
      <c r="M526"/>
      <c r="N526"/>
      <c r="O526"/>
      <c r="P526"/>
      <c r="Q526"/>
      <c r="R526"/>
      <c r="S526"/>
      <c r="T526"/>
      <c r="U526"/>
      <c r="V526"/>
      <c r="W526" s="107" t="s">
        <v>844</v>
      </c>
      <c r="X526">
        <v>40</v>
      </c>
    </row>
    <row r="527" spans="1:24" s="7" customFormat="1" x14ac:dyDescent="0.3">
      <c r="A527" t="s">
        <v>601</v>
      </c>
      <c r="B527" t="s">
        <v>840</v>
      </c>
      <c r="C527"/>
      <c r="D527"/>
      <c r="E527"/>
      <c r="F527"/>
      <c r="G527"/>
      <c r="H527"/>
      <c r="I527"/>
      <c r="J527"/>
      <c r="K527"/>
      <c r="L527"/>
      <c r="M527"/>
      <c r="N527"/>
      <c r="O527"/>
      <c r="P527"/>
      <c r="Q527"/>
      <c r="R527"/>
      <c r="S527"/>
      <c r="T527"/>
      <c r="U527"/>
      <c r="V527"/>
      <c r="W527" s="107" t="s">
        <v>845</v>
      </c>
      <c r="X527">
        <v>30.001000000000001</v>
      </c>
    </row>
    <row r="528" spans="1:24" s="7" customFormat="1" x14ac:dyDescent="0.3">
      <c r="A528" t="s">
        <v>601</v>
      </c>
      <c r="B528" t="s">
        <v>840</v>
      </c>
      <c r="C528"/>
      <c r="D528"/>
      <c r="E528"/>
      <c r="F528"/>
      <c r="G528"/>
      <c r="H528"/>
      <c r="I528"/>
      <c r="J528"/>
      <c r="K528"/>
      <c r="L528"/>
      <c r="M528"/>
      <c r="N528"/>
      <c r="O528"/>
      <c r="P528"/>
      <c r="Q528"/>
      <c r="R528"/>
      <c r="S528"/>
      <c r="T528"/>
      <c r="U528"/>
      <c r="V528"/>
      <c r="W528" s="111" t="s">
        <v>852</v>
      </c>
      <c r="X528" s="112">
        <f>X529+X531+X533+X535</f>
        <v>1798.6456000000001</v>
      </c>
    </row>
    <row r="529" spans="1:24" s="7" customFormat="1" x14ac:dyDescent="0.3">
      <c r="A529" t="s">
        <v>601</v>
      </c>
      <c r="B529" t="s">
        <v>840</v>
      </c>
      <c r="C529"/>
      <c r="D529"/>
      <c r="E529"/>
      <c r="F529"/>
      <c r="G529"/>
      <c r="H529"/>
      <c r="I529"/>
      <c r="J529"/>
      <c r="K529"/>
      <c r="L529"/>
      <c r="M529"/>
      <c r="N529"/>
      <c r="O529"/>
      <c r="P529"/>
      <c r="Q529"/>
      <c r="R529"/>
      <c r="S529"/>
      <c r="T529"/>
      <c r="U529"/>
      <c r="V529"/>
      <c r="W529" s="113" t="s">
        <v>841</v>
      </c>
      <c r="X529" s="99">
        <f>SUM(X530)</f>
        <v>460</v>
      </c>
    </row>
    <row r="530" spans="1:24" s="7" customFormat="1" x14ac:dyDescent="0.3">
      <c r="A530" t="s">
        <v>601</v>
      </c>
      <c r="B530" t="s">
        <v>840</v>
      </c>
      <c r="C530"/>
      <c r="D530"/>
      <c r="E530"/>
      <c r="F530"/>
      <c r="G530"/>
      <c r="H530"/>
      <c r="I530"/>
      <c r="J530"/>
      <c r="K530"/>
      <c r="L530"/>
      <c r="M530"/>
      <c r="N530"/>
      <c r="O530"/>
      <c r="P530"/>
      <c r="Q530"/>
      <c r="R530"/>
      <c r="S530"/>
      <c r="T530"/>
      <c r="U530"/>
      <c r="V530"/>
      <c r="W530" s="107" t="s">
        <v>846</v>
      </c>
      <c r="X530">
        <v>460</v>
      </c>
    </row>
    <row r="531" spans="1:24" s="7" customFormat="1" x14ac:dyDescent="0.3">
      <c r="A531" t="s">
        <v>601</v>
      </c>
      <c r="B531" t="s">
        <v>840</v>
      </c>
      <c r="C531"/>
      <c r="D531"/>
      <c r="E531"/>
      <c r="F531"/>
      <c r="G531"/>
      <c r="H531"/>
      <c r="I531"/>
      <c r="J531"/>
      <c r="K531"/>
      <c r="L531"/>
      <c r="M531"/>
      <c r="N531"/>
      <c r="O531"/>
      <c r="P531"/>
      <c r="Q531"/>
      <c r="R531"/>
      <c r="S531"/>
      <c r="T531"/>
      <c r="U531"/>
      <c r="V531"/>
      <c r="W531" s="113" t="s">
        <v>847</v>
      </c>
      <c r="X531" s="99">
        <f>SUM(X532)</f>
        <v>150</v>
      </c>
    </row>
    <row r="532" spans="1:24" s="7" customFormat="1" x14ac:dyDescent="0.3">
      <c r="A532" t="s">
        <v>601</v>
      </c>
      <c r="B532" t="s">
        <v>840</v>
      </c>
      <c r="C532"/>
      <c r="D532"/>
      <c r="E532"/>
      <c r="F532"/>
      <c r="G532"/>
      <c r="H532"/>
      <c r="I532"/>
      <c r="J532"/>
      <c r="K532"/>
      <c r="L532"/>
      <c r="M532"/>
      <c r="N532"/>
      <c r="O532"/>
      <c r="P532"/>
      <c r="Q532"/>
      <c r="R532"/>
      <c r="S532"/>
      <c r="T532"/>
      <c r="U532"/>
      <c r="V532"/>
      <c r="W532" s="107" t="s">
        <v>846</v>
      </c>
      <c r="X532">
        <v>150</v>
      </c>
    </row>
    <row r="533" spans="1:24" s="7" customFormat="1" x14ac:dyDescent="0.3">
      <c r="A533" t="s">
        <v>601</v>
      </c>
      <c r="B533" t="s">
        <v>840</v>
      </c>
      <c r="C533"/>
      <c r="D533"/>
      <c r="E533"/>
      <c r="F533"/>
      <c r="G533"/>
      <c r="H533"/>
      <c r="I533"/>
      <c r="J533"/>
      <c r="K533"/>
      <c r="L533"/>
      <c r="M533"/>
      <c r="N533"/>
      <c r="O533"/>
      <c r="P533"/>
      <c r="Q533"/>
      <c r="R533"/>
      <c r="S533"/>
      <c r="T533"/>
      <c r="U533"/>
      <c r="V533"/>
      <c r="W533" s="113" t="s">
        <v>848</v>
      </c>
      <c r="X533" s="99">
        <f>+SUM(X534)</f>
        <v>1068.6456000000001</v>
      </c>
    </row>
    <row r="534" spans="1:24" s="7" customFormat="1" x14ac:dyDescent="0.3">
      <c r="A534" t="s">
        <v>601</v>
      </c>
      <c r="B534" t="s">
        <v>840</v>
      </c>
      <c r="C534"/>
      <c r="D534"/>
      <c r="E534"/>
      <c r="F534"/>
      <c r="G534"/>
      <c r="H534"/>
      <c r="I534"/>
      <c r="J534"/>
      <c r="K534"/>
      <c r="L534"/>
      <c r="M534"/>
      <c r="N534"/>
      <c r="O534"/>
      <c r="P534"/>
      <c r="Q534"/>
      <c r="R534"/>
      <c r="S534"/>
      <c r="T534"/>
      <c r="U534"/>
      <c r="V534"/>
      <c r="W534" s="107" t="s">
        <v>846</v>
      </c>
      <c r="X534">
        <v>1068.6456000000001</v>
      </c>
    </row>
    <row r="535" spans="1:24" s="7" customFormat="1" x14ac:dyDescent="0.3">
      <c r="A535" t="s">
        <v>601</v>
      </c>
      <c r="B535" t="s">
        <v>840</v>
      </c>
      <c r="C535"/>
      <c r="D535"/>
      <c r="E535"/>
      <c r="F535"/>
      <c r="G535"/>
      <c r="H535"/>
      <c r="I535"/>
      <c r="J535"/>
      <c r="K535"/>
      <c r="L535"/>
      <c r="M535"/>
      <c r="N535"/>
      <c r="O535"/>
      <c r="P535"/>
      <c r="Q535"/>
      <c r="R535"/>
      <c r="S535"/>
      <c r="T535"/>
      <c r="U535"/>
      <c r="V535"/>
      <c r="W535" s="113" t="s">
        <v>850</v>
      </c>
      <c r="X535" s="99">
        <f>+SUM(X536)</f>
        <v>120</v>
      </c>
    </row>
    <row r="536" spans="1:24" s="7" customFormat="1" x14ac:dyDescent="0.3">
      <c r="A536" t="s">
        <v>601</v>
      </c>
      <c r="B536" t="s">
        <v>840</v>
      </c>
      <c r="C536"/>
      <c r="D536"/>
      <c r="E536"/>
      <c r="F536"/>
      <c r="G536"/>
      <c r="H536"/>
      <c r="I536"/>
      <c r="J536"/>
      <c r="K536"/>
      <c r="L536"/>
      <c r="M536"/>
      <c r="N536"/>
      <c r="O536"/>
      <c r="P536"/>
      <c r="Q536"/>
      <c r="R536"/>
      <c r="S536"/>
      <c r="T536"/>
      <c r="U536"/>
      <c r="V536"/>
      <c r="W536" s="107" t="s">
        <v>844</v>
      </c>
      <c r="X536" s="108">
        <v>120</v>
      </c>
    </row>
    <row r="537" spans="1:24" s="7" customFormat="1" x14ac:dyDescent="0.3">
      <c r="A537" t="s">
        <v>601</v>
      </c>
      <c r="B537" t="s">
        <v>840</v>
      </c>
      <c r="C537"/>
      <c r="D537"/>
      <c r="E537"/>
      <c r="F537"/>
      <c r="G537"/>
      <c r="H537"/>
      <c r="I537"/>
      <c r="J537"/>
      <c r="K537"/>
      <c r="L537"/>
      <c r="M537"/>
      <c r="N537"/>
      <c r="O537"/>
      <c r="P537"/>
      <c r="Q537"/>
      <c r="R537"/>
      <c r="S537"/>
      <c r="T537"/>
      <c r="U537"/>
      <c r="V537"/>
      <c r="W537" s="114" t="s">
        <v>857</v>
      </c>
      <c r="X537" s="115">
        <f>X493+X529</f>
        <v>473.46550000000002</v>
      </c>
    </row>
    <row r="538" spans="1:24" s="7" customFormat="1" x14ac:dyDescent="0.3">
      <c r="A538" t="s">
        <v>601</v>
      </c>
      <c r="B538" t="s">
        <v>840</v>
      </c>
      <c r="C538"/>
      <c r="D538"/>
      <c r="E538"/>
      <c r="F538"/>
      <c r="G538"/>
      <c r="H538"/>
      <c r="I538"/>
      <c r="J538"/>
      <c r="K538"/>
      <c r="L538"/>
      <c r="M538"/>
      <c r="N538"/>
      <c r="O538"/>
      <c r="P538"/>
      <c r="Q538"/>
      <c r="R538"/>
      <c r="S538"/>
      <c r="T538"/>
      <c r="U538"/>
      <c r="V538"/>
      <c r="W538" s="116" t="s">
        <v>858</v>
      </c>
      <c r="X538" s="115">
        <f>X499+X521+X531</f>
        <v>263.189525</v>
      </c>
    </row>
    <row r="539" spans="1:24" s="7" customFormat="1" x14ac:dyDescent="0.3">
      <c r="A539" t="s">
        <v>601</v>
      </c>
      <c r="B539" t="s">
        <v>840</v>
      </c>
      <c r="C539"/>
      <c r="D539"/>
      <c r="E539"/>
      <c r="F539"/>
      <c r="G539"/>
      <c r="H539"/>
      <c r="I539"/>
      <c r="J539"/>
      <c r="K539"/>
      <c r="L539"/>
      <c r="M539"/>
      <c r="N539"/>
      <c r="O539"/>
      <c r="P539"/>
      <c r="Q539"/>
      <c r="R539"/>
      <c r="S539"/>
      <c r="T539"/>
      <c r="U539"/>
      <c r="V539"/>
      <c r="W539" s="116" t="s">
        <v>859</v>
      </c>
      <c r="X539" s="115">
        <f>X504</f>
        <v>0.11</v>
      </c>
    </row>
    <row r="540" spans="1:24" s="7" customFormat="1" x14ac:dyDescent="0.3">
      <c r="A540" t="s">
        <v>601</v>
      </c>
      <c r="B540" t="s">
        <v>840</v>
      </c>
      <c r="C540"/>
      <c r="D540"/>
      <c r="E540"/>
      <c r="F540"/>
      <c r="G540"/>
      <c r="H540"/>
      <c r="I540"/>
      <c r="J540"/>
      <c r="K540"/>
      <c r="L540"/>
      <c r="M540"/>
      <c r="N540"/>
      <c r="O540"/>
      <c r="P540"/>
      <c r="Q540"/>
      <c r="R540"/>
      <c r="S540"/>
      <c r="T540"/>
      <c r="U540"/>
      <c r="V540"/>
      <c r="W540" s="116" t="s">
        <v>860</v>
      </c>
      <c r="X540" s="115">
        <f>X508+X523+X533</f>
        <v>1124.5968800000001</v>
      </c>
    </row>
    <row r="541" spans="1:24" s="7" customFormat="1" x14ac:dyDescent="0.3">
      <c r="A541" t="s">
        <v>601</v>
      </c>
      <c r="B541" t="s">
        <v>840</v>
      </c>
      <c r="C541"/>
      <c r="D541"/>
      <c r="E541"/>
      <c r="F541"/>
      <c r="G541"/>
      <c r="H541"/>
      <c r="I541"/>
      <c r="J541"/>
      <c r="K541"/>
      <c r="L541"/>
      <c r="M541"/>
      <c r="N541"/>
      <c r="O541"/>
      <c r="P541"/>
      <c r="Q541"/>
      <c r="R541"/>
      <c r="S541"/>
      <c r="T541"/>
      <c r="U541"/>
      <c r="V541"/>
      <c r="W541" s="116" t="s">
        <v>861</v>
      </c>
      <c r="X541" s="115">
        <f>X512</f>
        <v>2.238</v>
      </c>
    </row>
    <row r="542" spans="1:24" s="7" customFormat="1" x14ac:dyDescent="0.3">
      <c r="A542" t="s">
        <v>601</v>
      </c>
      <c r="B542" t="s">
        <v>840</v>
      </c>
      <c r="C542"/>
      <c r="D542"/>
      <c r="E542"/>
      <c r="F542"/>
      <c r="G542"/>
      <c r="H542"/>
      <c r="I542"/>
      <c r="J542"/>
      <c r="K542"/>
      <c r="L542"/>
      <c r="M542"/>
      <c r="N542"/>
      <c r="O542"/>
      <c r="P542"/>
      <c r="Q542"/>
      <c r="R542"/>
      <c r="S542"/>
      <c r="T542"/>
      <c r="U542"/>
      <c r="V542"/>
      <c r="W542" s="116" t="s">
        <v>862</v>
      </c>
      <c r="X542" s="115">
        <f>X515+X525+X535</f>
        <v>298.01220000000001</v>
      </c>
    </row>
    <row r="543" spans="1:24" s="7" customFormat="1" x14ac:dyDescent="0.3">
      <c r="A543" t="s">
        <v>601</v>
      </c>
      <c r="B543" t="s">
        <v>840</v>
      </c>
      <c r="C543"/>
      <c r="D543"/>
      <c r="E543"/>
      <c r="F543"/>
      <c r="G543"/>
      <c r="H543"/>
      <c r="I543"/>
      <c r="J543"/>
      <c r="K543"/>
      <c r="L543"/>
      <c r="M543"/>
      <c r="N543"/>
      <c r="O543"/>
      <c r="P543"/>
      <c r="Q543"/>
      <c r="R543"/>
      <c r="S543"/>
      <c r="T543"/>
      <c r="U543"/>
      <c r="V543"/>
      <c r="W543" s="116" t="s">
        <v>864</v>
      </c>
      <c r="X543" s="115">
        <f>SUM(X537:X542)</f>
        <v>2161.6121050000002</v>
      </c>
    </row>
    <row r="544" spans="1:24" s="7" customFormat="1" x14ac:dyDescent="0.3">
      <c r="A544" t="s">
        <v>601</v>
      </c>
      <c r="B544" t="s">
        <v>840</v>
      </c>
      <c r="C544"/>
      <c r="D544"/>
      <c r="E544"/>
      <c r="F544"/>
      <c r="G544"/>
      <c r="H544"/>
      <c r="I544"/>
      <c r="J544"/>
      <c r="K544"/>
      <c r="L544"/>
      <c r="M544"/>
      <c r="N544"/>
      <c r="O544"/>
      <c r="P544"/>
      <c r="Q544"/>
      <c r="R544"/>
      <c r="S544"/>
      <c r="T544"/>
      <c r="U544"/>
      <c r="V544"/>
      <c r="W544" s="110" t="s">
        <v>863</v>
      </c>
      <c r="X544" s="109">
        <v>792</v>
      </c>
    </row>
    <row r="545" spans="1:24" s="7" customFormat="1" x14ac:dyDescent="0.3">
      <c r="A545" t="s">
        <v>601</v>
      </c>
      <c r="B545" t="s">
        <v>873</v>
      </c>
      <c r="C545"/>
      <c r="D545"/>
      <c r="E545"/>
      <c r="F545"/>
      <c r="G545"/>
      <c r="H545"/>
      <c r="I545"/>
      <c r="J545"/>
      <c r="K545"/>
      <c r="L545"/>
      <c r="M545"/>
      <c r="N545"/>
      <c r="O545"/>
      <c r="P545"/>
      <c r="Q545"/>
      <c r="R545"/>
      <c r="S545"/>
      <c r="T545"/>
      <c r="U545"/>
      <c r="V545"/>
      <c r="W545" s="130" t="s">
        <v>869</v>
      </c>
      <c r="X545" s="130">
        <f>X547</f>
        <v>6</v>
      </c>
    </row>
    <row r="546" spans="1:24" s="7" customFormat="1" x14ac:dyDescent="0.3">
      <c r="A546" t="s">
        <v>601</v>
      </c>
      <c r="B546" t="s">
        <v>873</v>
      </c>
      <c r="C546"/>
      <c r="D546"/>
      <c r="E546"/>
      <c r="F546"/>
      <c r="G546"/>
      <c r="H546"/>
      <c r="I546"/>
      <c r="J546"/>
      <c r="K546"/>
      <c r="L546"/>
      <c r="M546"/>
      <c r="N546"/>
      <c r="O546"/>
      <c r="P546"/>
      <c r="Q546"/>
      <c r="R546"/>
      <c r="S546"/>
      <c r="T546"/>
      <c r="U546"/>
      <c r="V546"/>
      <c r="W546" s="130" t="s">
        <v>870</v>
      </c>
      <c r="X546" s="130">
        <f>X548</f>
        <v>33</v>
      </c>
    </row>
    <row r="547" spans="1:24" s="7" customFormat="1" x14ac:dyDescent="0.3">
      <c r="A547" t="s">
        <v>601</v>
      </c>
      <c r="B547" t="s">
        <v>873</v>
      </c>
      <c r="C547"/>
      <c r="D547"/>
      <c r="E547"/>
      <c r="F547"/>
      <c r="G547"/>
      <c r="H547"/>
      <c r="I547"/>
      <c r="J547"/>
      <c r="K547"/>
      <c r="L547"/>
      <c r="M547"/>
      <c r="N547"/>
      <c r="O547"/>
      <c r="P547"/>
      <c r="Q547"/>
      <c r="R547"/>
      <c r="S547"/>
      <c r="T547"/>
      <c r="U547"/>
      <c r="V547"/>
      <c r="W547" s="129" t="s">
        <v>871</v>
      </c>
      <c r="X547" s="129">
        <v>6</v>
      </c>
    </row>
    <row r="548" spans="1:24" s="7" customFormat="1" x14ac:dyDescent="0.3">
      <c r="A548" t="s">
        <v>601</v>
      </c>
      <c r="B548" t="s">
        <v>873</v>
      </c>
      <c r="C548"/>
      <c r="D548"/>
      <c r="E548"/>
      <c r="F548"/>
      <c r="G548"/>
      <c r="H548"/>
      <c r="I548"/>
      <c r="J548"/>
      <c r="K548"/>
      <c r="L548"/>
      <c r="M548"/>
      <c r="N548"/>
      <c r="O548"/>
      <c r="P548"/>
      <c r="Q548"/>
      <c r="R548"/>
      <c r="S548"/>
      <c r="T548"/>
      <c r="U548"/>
      <c r="V548"/>
      <c r="W548" s="129" t="s">
        <v>872</v>
      </c>
      <c r="X548" s="129">
        <v>33</v>
      </c>
    </row>
    <row r="549" spans="1:24" s="7" customFormat="1" x14ac:dyDescent="0.3">
      <c r="A549" t="s">
        <v>601</v>
      </c>
      <c r="B549" t="s">
        <v>873</v>
      </c>
      <c r="C549"/>
      <c r="D549"/>
      <c r="E549"/>
      <c r="F549"/>
      <c r="G549"/>
      <c r="H549"/>
      <c r="I549"/>
      <c r="J549"/>
      <c r="K549"/>
      <c r="L549"/>
      <c r="M549"/>
      <c r="N549"/>
      <c r="O549"/>
      <c r="P549"/>
      <c r="Q549"/>
      <c r="R549"/>
      <c r="S549"/>
      <c r="T549"/>
      <c r="U549"/>
      <c r="V549"/>
      <c r="W549" s="130" t="s">
        <v>874</v>
      </c>
      <c r="X549" s="130">
        <f>X551+X553</f>
        <v>3</v>
      </c>
    </row>
    <row r="550" spans="1:24" s="7" customFormat="1" x14ac:dyDescent="0.3">
      <c r="A550" t="s">
        <v>601</v>
      </c>
      <c r="B550" t="s">
        <v>873</v>
      </c>
      <c r="C550"/>
      <c r="D550"/>
      <c r="E550"/>
      <c r="F550"/>
      <c r="G550"/>
      <c r="H550"/>
      <c r="I550"/>
      <c r="J550"/>
      <c r="K550"/>
      <c r="L550"/>
      <c r="M550"/>
      <c r="N550"/>
      <c r="O550"/>
      <c r="P550"/>
      <c r="Q550"/>
      <c r="R550"/>
      <c r="S550"/>
      <c r="T550"/>
      <c r="U550"/>
      <c r="V550"/>
      <c r="W550" s="130" t="s">
        <v>875</v>
      </c>
      <c r="X550" s="130">
        <f>X552+X554</f>
        <v>10</v>
      </c>
    </row>
    <row r="551" spans="1:24" s="7" customFormat="1" x14ac:dyDescent="0.3">
      <c r="A551" t="s">
        <v>601</v>
      </c>
      <c r="B551" t="s">
        <v>873</v>
      </c>
      <c r="C551"/>
      <c r="D551"/>
      <c r="E551"/>
      <c r="F551"/>
      <c r="G551"/>
      <c r="H551"/>
      <c r="I551"/>
      <c r="J551"/>
      <c r="K551"/>
      <c r="L551"/>
      <c r="M551"/>
      <c r="N551"/>
      <c r="O551"/>
      <c r="P551"/>
      <c r="Q551"/>
      <c r="R551"/>
      <c r="S551"/>
      <c r="T551"/>
      <c r="U551"/>
      <c r="V551"/>
      <c r="W551" s="129" t="s">
        <v>876</v>
      </c>
      <c r="X551" s="129">
        <v>2</v>
      </c>
    </row>
    <row r="552" spans="1:24" s="7" customFormat="1" x14ac:dyDescent="0.3">
      <c r="A552" t="s">
        <v>601</v>
      </c>
      <c r="B552" t="s">
        <v>873</v>
      </c>
      <c r="C552"/>
      <c r="D552"/>
      <c r="E552"/>
      <c r="F552"/>
      <c r="G552"/>
      <c r="H552"/>
      <c r="I552"/>
      <c r="J552"/>
      <c r="K552"/>
      <c r="L552"/>
      <c r="M552"/>
      <c r="N552"/>
      <c r="O552"/>
      <c r="P552"/>
      <c r="Q552"/>
      <c r="R552"/>
      <c r="S552"/>
      <c r="T552"/>
      <c r="U552"/>
      <c r="V552"/>
      <c r="W552" s="129" t="s">
        <v>877</v>
      </c>
      <c r="X552" s="129">
        <v>7</v>
      </c>
    </row>
    <row r="553" spans="1:24" s="7" customFormat="1" x14ac:dyDescent="0.3">
      <c r="A553" t="s">
        <v>601</v>
      </c>
      <c r="B553" t="s">
        <v>873</v>
      </c>
      <c r="C553"/>
      <c r="D553"/>
      <c r="E553"/>
      <c r="F553"/>
      <c r="G553"/>
      <c r="H553"/>
      <c r="I553"/>
      <c r="J553"/>
      <c r="K553"/>
      <c r="L553"/>
      <c r="M553"/>
      <c r="N553"/>
      <c r="O553"/>
      <c r="P553"/>
      <c r="Q553"/>
      <c r="R553"/>
      <c r="S553"/>
      <c r="T553"/>
      <c r="U553"/>
      <c r="V553"/>
      <c r="W553" s="129" t="s">
        <v>878</v>
      </c>
      <c r="X553" s="129">
        <v>1</v>
      </c>
    </row>
    <row r="554" spans="1:24" s="7" customFormat="1" x14ac:dyDescent="0.3">
      <c r="A554" t="s">
        <v>601</v>
      </c>
      <c r="B554" t="s">
        <v>873</v>
      </c>
      <c r="C554"/>
      <c r="D554"/>
      <c r="E554"/>
      <c r="F554"/>
      <c r="G554"/>
      <c r="H554"/>
      <c r="I554"/>
      <c r="J554"/>
      <c r="K554"/>
      <c r="L554"/>
      <c r="M554"/>
      <c r="N554"/>
      <c r="O554"/>
      <c r="P554"/>
      <c r="Q554"/>
      <c r="R554"/>
      <c r="S554"/>
      <c r="T554"/>
      <c r="U554"/>
      <c r="V554"/>
      <c r="W554" s="129" t="s">
        <v>879</v>
      </c>
      <c r="X554" s="129">
        <v>3</v>
      </c>
    </row>
    <row r="555" spans="1:24" s="7" customFormat="1" x14ac:dyDescent="0.3">
      <c r="A555" t="s">
        <v>601</v>
      </c>
      <c r="B555" t="s">
        <v>873</v>
      </c>
      <c r="C555"/>
      <c r="D555"/>
      <c r="E555"/>
      <c r="F555"/>
      <c r="G555"/>
      <c r="H555"/>
      <c r="I555"/>
      <c r="J555"/>
      <c r="K555"/>
      <c r="L555"/>
      <c r="M555"/>
      <c r="N555"/>
      <c r="O555"/>
      <c r="P555"/>
      <c r="Q555"/>
      <c r="R555"/>
      <c r="S555"/>
      <c r="T555"/>
      <c r="U555"/>
      <c r="V555"/>
      <c r="W555" s="130" t="s">
        <v>880</v>
      </c>
      <c r="X555" s="68">
        <f>X557+X559+X561+X563+X565+X567+X569+X571+X573+X575</f>
        <v>36</v>
      </c>
    </row>
    <row r="556" spans="1:24" s="7" customFormat="1" x14ac:dyDescent="0.3">
      <c r="A556" t="s">
        <v>601</v>
      </c>
      <c r="B556" t="s">
        <v>873</v>
      </c>
      <c r="C556"/>
      <c r="D556"/>
      <c r="E556"/>
      <c r="F556"/>
      <c r="G556"/>
      <c r="H556"/>
      <c r="I556"/>
      <c r="J556"/>
      <c r="K556"/>
      <c r="L556"/>
      <c r="M556"/>
      <c r="N556"/>
      <c r="O556"/>
      <c r="P556"/>
      <c r="Q556"/>
      <c r="R556"/>
      <c r="S556"/>
      <c r="T556"/>
      <c r="U556"/>
      <c r="V556"/>
      <c r="W556" s="130" t="s">
        <v>881</v>
      </c>
      <c r="X556" s="68">
        <f>X558+X560+X562+X564+X566+X568+X570+X572+X574+X576</f>
        <v>99</v>
      </c>
    </row>
    <row r="557" spans="1:24" s="7" customFormat="1" x14ac:dyDescent="0.3">
      <c r="A557" t="s">
        <v>601</v>
      </c>
      <c r="B557" t="s">
        <v>873</v>
      </c>
      <c r="C557"/>
      <c r="D557"/>
      <c r="E557"/>
      <c r="F557"/>
      <c r="G557"/>
      <c r="H557"/>
      <c r="I557"/>
      <c r="J557"/>
      <c r="K557"/>
      <c r="L557"/>
      <c r="M557"/>
      <c r="N557"/>
      <c r="O557"/>
      <c r="P557"/>
      <c r="Q557"/>
      <c r="R557"/>
      <c r="S557"/>
      <c r="T557"/>
      <c r="U557"/>
      <c r="V557"/>
      <c r="W557" s="129" t="s">
        <v>882</v>
      </c>
      <c r="X557" s="129">
        <v>0</v>
      </c>
    </row>
    <row r="558" spans="1:24" s="7" customFormat="1" x14ac:dyDescent="0.3">
      <c r="A558" t="s">
        <v>601</v>
      </c>
      <c r="B558" t="s">
        <v>873</v>
      </c>
      <c r="C558"/>
      <c r="D558"/>
      <c r="E558"/>
      <c r="F558"/>
      <c r="G558"/>
      <c r="H558"/>
      <c r="I558"/>
      <c r="J558"/>
      <c r="K558"/>
      <c r="L558"/>
      <c r="M558"/>
      <c r="N558"/>
      <c r="O558"/>
      <c r="P558"/>
      <c r="Q558"/>
      <c r="R558"/>
      <c r="S558"/>
      <c r="T558"/>
      <c r="U558"/>
      <c r="V558"/>
      <c r="W558" s="129" t="s">
        <v>883</v>
      </c>
      <c r="X558" s="129">
        <v>5</v>
      </c>
    </row>
    <row r="559" spans="1:24" s="7" customFormat="1" x14ac:dyDescent="0.3">
      <c r="A559" t="s">
        <v>601</v>
      </c>
      <c r="B559" t="s">
        <v>873</v>
      </c>
      <c r="C559"/>
      <c r="D559"/>
      <c r="E559"/>
      <c r="F559"/>
      <c r="G559"/>
      <c r="H559"/>
      <c r="I559"/>
      <c r="J559"/>
      <c r="K559"/>
      <c r="L559"/>
      <c r="M559"/>
      <c r="N559"/>
      <c r="O559"/>
      <c r="P559"/>
      <c r="Q559"/>
      <c r="R559"/>
      <c r="S559"/>
      <c r="T559"/>
      <c r="U559"/>
      <c r="V559"/>
      <c r="W559" s="129" t="s">
        <v>884</v>
      </c>
      <c r="X559" s="129">
        <v>2</v>
      </c>
    </row>
    <row r="560" spans="1:24" s="7" customFormat="1" x14ac:dyDescent="0.3">
      <c r="A560" t="s">
        <v>601</v>
      </c>
      <c r="B560" t="s">
        <v>873</v>
      </c>
      <c r="C560"/>
      <c r="D560"/>
      <c r="E560"/>
      <c r="F560"/>
      <c r="G560"/>
      <c r="H560"/>
      <c r="I560"/>
      <c r="J560"/>
      <c r="K560"/>
      <c r="L560"/>
      <c r="M560"/>
      <c r="N560"/>
      <c r="O560"/>
      <c r="P560"/>
      <c r="Q560"/>
      <c r="R560"/>
      <c r="S560"/>
      <c r="T560"/>
      <c r="U560"/>
      <c r="V560"/>
      <c r="W560" s="129" t="s">
        <v>885</v>
      </c>
      <c r="X560" s="129">
        <v>15</v>
      </c>
    </row>
    <row r="561" spans="1:24" s="7" customFormat="1" x14ac:dyDescent="0.3">
      <c r="A561" t="s">
        <v>601</v>
      </c>
      <c r="B561" t="s">
        <v>873</v>
      </c>
      <c r="C561"/>
      <c r="D561"/>
      <c r="E561"/>
      <c r="F561"/>
      <c r="G561"/>
      <c r="H561"/>
      <c r="I561"/>
      <c r="J561"/>
      <c r="K561"/>
      <c r="L561"/>
      <c r="M561"/>
      <c r="N561"/>
      <c r="O561"/>
      <c r="P561"/>
      <c r="Q561"/>
      <c r="R561"/>
      <c r="S561"/>
      <c r="T561"/>
      <c r="U561"/>
      <c r="V561"/>
      <c r="W561" s="129" t="s">
        <v>886</v>
      </c>
      <c r="X561" s="129">
        <v>8</v>
      </c>
    </row>
    <row r="562" spans="1:24" s="7" customFormat="1" x14ac:dyDescent="0.3">
      <c r="A562" t="s">
        <v>601</v>
      </c>
      <c r="B562" t="s">
        <v>873</v>
      </c>
      <c r="C562"/>
      <c r="D562"/>
      <c r="E562"/>
      <c r="F562"/>
      <c r="G562"/>
      <c r="H562"/>
      <c r="I562"/>
      <c r="J562"/>
      <c r="K562"/>
      <c r="L562"/>
      <c r="M562"/>
      <c r="N562"/>
      <c r="O562"/>
      <c r="P562"/>
      <c r="Q562"/>
      <c r="R562"/>
      <c r="S562"/>
      <c r="T562"/>
      <c r="U562"/>
      <c r="V562"/>
      <c r="W562" s="129" t="s">
        <v>887</v>
      </c>
      <c r="X562" s="129">
        <v>19</v>
      </c>
    </row>
    <row r="563" spans="1:24" s="7" customFormat="1" x14ac:dyDescent="0.3">
      <c r="A563" t="s">
        <v>601</v>
      </c>
      <c r="B563" t="s">
        <v>873</v>
      </c>
      <c r="C563"/>
      <c r="D563"/>
      <c r="E563"/>
      <c r="F563"/>
      <c r="G563"/>
      <c r="H563"/>
      <c r="I563"/>
      <c r="J563"/>
      <c r="K563"/>
      <c r="L563"/>
      <c r="M563"/>
      <c r="N563"/>
      <c r="O563"/>
      <c r="P563"/>
      <c r="Q563"/>
      <c r="R563"/>
      <c r="S563"/>
      <c r="T563"/>
      <c r="U563"/>
      <c r="V563"/>
      <c r="W563" s="129" t="s">
        <v>888</v>
      </c>
      <c r="X563" s="129">
        <v>0</v>
      </c>
    </row>
    <row r="564" spans="1:24" s="7" customFormat="1" x14ac:dyDescent="0.3">
      <c r="A564" t="s">
        <v>601</v>
      </c>
      <c r="B564" t="s">
        <v>873</v>
      </c>
      <c r="C564"/>
      <c r="D564"/>
      <c r="E564"/>
      <c r="F564"/>
      <c r="G564"/>
      <c r="H564"/>
      <c r="I564"/>
      <c r="J564"/>
      <c r="K564"/>
      <c r="L564"/>
      <c r="M564"/>
      <c r="N564"/>
      <c r="O564"/>
      <c r="P564"/>
      <c r="Q564"/>
      <c r="R564"/>
      <c r="S564"/>
      <c r="T564"/>
      <c r="U564"/>
      <c r="V564"/>
      <c r="W564" s="129" t="s">
        <v>889</v>
      </c>
      <c r="X564" s="129">
        <v>3</v>
      </c>
    </row>
    <row r="565" spans="1:24" s="7" customFormat="1" x14ac:dyDescent="0.3">
      <c r="A565" t="s">
        <v>601</v>
      </c>
      <c r="B565" t="s">
        <v>873</v>
      </c>
      <c r="C565"/>
      <c r="D565"/>
      <c r="E565"/>
      <c r="F565"/>
      <c r="G565"/>
      <c r="H565"/>
      <c r="I565"/>
      <c r="J565"/>
      <c r="K565"/>
      <c r="L565"/>
      <c r="M565"/>
      <c r="N565"/>
      <c r="O565"/>
      <c r="P565"/>
      <c r="Q565"/>
      <c r="R565"/>
      <c r="S565"/>
      <c r="T565"/>
      <c r="U565"/>
      <c r="V565"/>
      <c r="W565" s="129" t="s">
        <v>890</v>
      </c>
      <c r="X565" s="129">
        <v>13</v>
      </c>
    </row>
    <row r="566" spans="1:24" s="7" customFormat="1" x14ac:dyDescent="0.3">
      <c r="A566" t="s">
        <v>601</v>
      </c>
      <c r="B566" t="s">
        <v>873</v>
      </c>
      <c r="C566"/>
      <c r="D566"/>
      <c r="E566"/>
      <c r="F566"/>
      <c r="G566"/>
      <c r="H566"/>
      <c r="I566"/>
      <c r="J566"/>
      <c r="K566"/>
      <c r="L566"/>
      <c r="M566"/>
      <c r="N566"/>
      <c r="O566"/>
      <c r="P566"/>
      <c r="Q566"/>
      <c r="R566"/>
      <c r="S566"/>
      <c r="T566"/>
      <c r="U566"/>
      <c r="V566"/>
      <c r="W566" s="129" t="s">
        <v>891</v>
      </c>
      <c r="X566" s="129">
        <v>11</v>
      </c>
    </row>
    <row r="567" spans="1:24" s="7" customFormat="1" x14ac:dyDescent="0.3">
      <c r="A567" t="s">
        <v>601</v>
      </c>
      <c r="B567" t="s">
        <v>873</v>
      </c>
      <c r="C567"/>
      <c r="D567"/>
      <c r="E567"/>
      <c r="F567"/>
      <c r="G567"/>
      <c r="H567"/>
      <c r="I567"/>
      <c r="J567"/>
      <c r="K567"/>
      <c r="L567"/>
      <c r="M567"/>
      <c r="N567"/>
      <c r="O567"/>
      <c r="P567"/>
      <c r="Q567"/>
      <c r="R567"/>
      <c r="S567"/>
      <c r="T567"/>
      <c r="U567"/>
      <c r="V567"/>
      <c r="W567" s="129" t="s">
        <v>892</v>
      </c>
      <c r="X567" s="129">
        <v>1</v>
      </c>
    </row>
    <row r="568" spans="1:24" s="7" customFormat="1" x14ac:dyDescent="0.3">
      <c r="A568" t="s">
        <v>601</v>
      </c>
      <c r="B568" t="s">
        <v>873</v>
      </c>
      <c r="C568"/>
      <c r="D568"/>
      <c r="E568"/>
      <c r="F568"/>
      <c r="G568"/>
      <c r="H568"/>
      <c r="I568"/>
      <c r="J568"/>
      <c r="K568"/>
      <c r="L568"/>
      <c r="M568"/>
      <c r="N568"/>
      <c r="O568"/>
      <c r="P568"/>
      <c r="Q568"/>
      <c r="R568"/>
      <c r="S568"/>
      <c r="T568"/>
      <c r="U568"/>
      <c r="V568"/>
      <c r="W568" s="129" t="s">
        <v>893</v>
      </c>
      <c r="X568" s="129">
        <v>1</v>
      </c>
    </row>
    <row r="569" spans="1:24" s="7" customFormat="1" x14ac:dyDescent="0.3">
      <c r="A569" t="s">
        <v>601</v>
      </c>
      <c r="B569" t="s">
        <v>873</v>
      </c>
      <c r="C569"/>
      <c r="D569"/>
      <c r="E569"/>
      <c r="F569"/>
      <c r="G569"/>
      <c r="H569"/>
      <c r="I569"/>
      <c r="J569"/>
      <c r="K569"/>
      <c r="L569"/>
      <c r="M569"/>
      <c r="N569"/>
      <c r="O569"/>
      <c r="P569"/>
      <c r="Q569"/>
      <c r="R569"/>
      <c r="S569"/>
      <c r="T569"/>
      <c r="U569"/>
      <c r="V569"/>
      <c r="W569" s="129" t="s">
        <v>894</v>
      </c>
      <c r="X569" s="129">
        <v>4</v>
      </c>
    </row>
    <row r="570" spans="1:24" s="7" customFormat="1" x14ac:dyDescent="0.3">
      <c r="A570" t="s">
        <v>601</v>
      </c>
      <c r="B570" t="s">
        <v>873</v>
      </c>
      <c r="C570"/>
      <c r="D570"/>
      <c r="E570"/>
      <c r="F570"/>
      <c r="G570"/>
      <c r="H570"/>
      <c r="I570"/>
      <c r="J570"/>
      <c r="K570"/>
      <c r="L570"/>
      <c r="M570"/>
      <c r="N570"/>
      <c r="O570"/>
      <c r="P570"/>
      <c r="Q570"/>
      <c r="R570"/>
      <c r="S570"/>
      <c r="T570"/>
      <c r="U570"/>
      <c r="V570"/>
      <c r="W570" s="129" t="s">
        <v>895</v>
      </c>
      <c r="X570" s="129">
        <v>29</v>
      </c>
    </row>
    <row r="571" spans="1:24" s="7" customFormat="1" x14ac:dyDescent="0.3">
      <c r="A571" t="s">
        <v>601</v>
      </c>
      <c r="B571" t="s">
        <v>873</v>
      </c>
      <c r="C571"/>
      <c r="D571"/>
      <c r="E571"/>
      <c r="F571"/>
      <c r="G571"/>
      <c r="H571"/>
      <c r="I571"/>
      <c r="J571"/>
      <c r="K571"/>
      <c r="L571"/>
      <c r="M571"/>
      <c r="N571"/>
      <c r="O571"/>
      <c r="P571"/>
      <c r="Q571"/>
      <c r="R571"/>
      <c r="S571"/>
      <c r="T571"/>
      <c r="U571"/>
      <c r="V571"/>
      <c r="W571" s="129" t="s">
        <v>896</v>
      </c>
      <c r="X571" s="129">
        <v>2</v>
      </c>
    </row>
    <row r="572" spans="1:24" s="7" customFormat="1" x14ac:dyDescent="0.3">
      <c r="A572" t="s">
        <v>601</v>
      </c>
      <c r="B572" t="s">
        <v>873</v>
      </c>
      <c r="C572"/>
      <c r="D572"/>
      <c r="E572"/>
      <c r="F572"/>
      <c r="G572"/>
      <c r="H572"/>
      <c r="I572"/>
      <c r="J572"/>
      <c r="K572"/>
      <c r="L572"/>
      <c r="M572"/>
      <c r="N572"/>
      <c r="O572"/>
      <c r="P572"/>
      <c r="Q572"/>
      <c r="R572"/>
      <c r="S572"/>
      <c r="T572"/>
      <c r="U572"/>
      <c r="V572"/>
      <c r="W572" s="129" t="s">
        <v>897</v>
      </c>
      <c r="X572" s="129">
        <v>1</v>
      </c>
    </row>
    <row r="573" spans="1:24" s="7" customFormat="1" x14ac:dyDescent="0.3">
      <c r="A573" t="s">
        <v>601</v>
      </c>
      <c r="B573" t="s">
        <v>873</v>
      </c>
      <c r="C573"/>
      <c r="D573"/>
      <c r="E573"/>
      <c r="F573"/>
      <c r="G573"/>
      <c r="H573"/>
      <c r="I573"/>
      <c r="J573"/>
      <c r="K573"/>
      <c r="L573"/>
      <c r="M573"/>
      <c r="N573"/>
      <c r="O573"/>
      <c r="P573"/>
      <c r="Q573"/>
      <c r="R573"/>
      <c r="S573"/>
      <c r="T573"/>
      <c r="U573"/>
      <c r="V573"/>
      <c r="W573" s="129" t="s">
        <v>898</v>
      </c>
      <c r="X573" s="129">
        <v>6</v>
      </c>
    </row>
    <row r="574" spans="1:24" s="7" customFormat="1" x14ac:dyDescent="0.3">
      <c r="A574" t="s">
        <v>601</v>
      </c>
      <c r="B574" t="s">
        <v>873</v>
      </c>
      <c r="C574"/>
      <c r="D574"/>
      <c r="E574"/>
      <c r="F574"/>
      <c r="G574"/>
      <c r="H574"/>
      <c r="I574"/>
      <c r="J574"/>
      <c r="K574"/>
      <c r="L574"/>
      <c r="M574"/>
      <c r="N574"/>
      <c r="O574"/>
      <c r="P574"/>
      <c r="Q574"/>
      <c r="R574"/>
      <c r="S574"/>
      <c r="T574"/>
      <c r="U574"/>
      <c r="V574"/>
      <c r="W574" s="129" t="s">
        <v>899</v>
      </c>
      <c r="X574" s="129">
        <v>14</v>
      </c>
    </row>
    <row r="575" spans="1:24" s="7" customFormat="1" x14ac:dyDescent="0.3">
      <c r="A575" t="s">
        <v>601</v>
      </c>
      <c r="B575" t="s">
        <v>873</v>
      </c>
      <c r="C575"/>
      <c r="D575"/>
      <c r="E575"/>
      <c r="F575"/>
      <c r="G575"/>
      <c r="H575"/>
      <c r="I575"/>
      <c r="J575"/>
      <c r="K575"/>
      <c r="L575"/>
      <c r="M575"/>
      <c r="N575"/>
      <c r="O575"/>
      <c r="P575"/>
      <c r="Q575"/>
      <c r="R575"/>
      <c r="S575"/>
      <c r="T575"/>
      <c r="U575"/>
      <c r="V575"/>
      <c r="W575" s="129" t="s">
        <v>900</v>
      </c>
      <c r="X575" s="129">
        <v>0</v>
      </c>
    </row>
    <row r="576" spans="1:24" s="7" customFormat="1" x14ac:dyDescent="0.3">
      <c r="A576" t="s">
        <v>601</v>
      </c>
      <c r="B576" t="s">
        <v>873</v>
      </c>
      <c r="C576"/>
      <c r="D576"/>
      <c r="E576"/>
      <c r="F576"/>
      <c r="G576"/>
      <c r="H576"/>
      <c r="I576"/>
      <c r="J576"/>
      <c r="K576"/>
      <c r="L576"/>
      <c r="M576"/>
      <c r="N576"/>
      <c r="O576"/>
      <c r="P576"/>
      <c r="Q576"/>
      <c r="R576"/>
      <c r="S576"/>
      <c r="T576"/>
      <c r="U576"/>
      <c r="V576"/>
      <c r="W576" s="129" t="s">
        <v>901</v>
      </c>
      <c r="X576" s="129">
        <v>1</v>
      </c>
    </row>
    <row r="577" spans="1:24" s="7" customFormat="1" x14ac:dyDescent="0.3">
      <c r="A577" t="s">
        <v>601</v>
      </c>
      <c r="B577" t="s">
        <v>873</v>
      </c>
      <c r="C577"/>
      <c r="D577"/>
      <c r="E577"/>
      <c r="F577"/>
      <c r="G577"/>
      <c r="H577"/>
      <c r="I577"/>
      <c r="J577"/>
      <c r="K577"/>
      <c r="L577"/>
      <c r="M577"/>
      <c r="N577"/>
      <c r="O577"/>
      <c r="P577"/>
      <c r="Q577"/>
      <c r="R577"/>
      <c r="S577"/>
      <c r="T577"/>
      <c r="U577"/>
      <c r="V577"/>
      <c r="W577" s="130" t="s">
        <v>902</v>
      </c>
      <c r="X577" s="130">
        <f>X579+X581+X583+X585+X587+X589</f>
        <v>21</v>
      </c>
    </row>
    <row r="578" spans="1:24" s="7" customFormat="1" x14ac:dyDescent="0.3">
      <c r="A578" t="s">
        <v>601</v>
      </c>
      <c r="B578" t="s">
        <v>873</v>
      </c>
      <c r="C578"/>
      <c r="D578"/>
      <c r="E578"/>
      <c r="F578"/>
      <c r="G578"/>
      <c r="H578"/>
      <c r="I578"/>
      <c r="J578"/>
      <c r="K578"/>
      <c r="L578"/>
      <c r="M578"/>
      <c r="N578"/>
      <c r="O578"/>
      <c r="P578"/>
      <c r="Q578"/>
      <c r="R578"/>
      <c r="S578"/>
      <c r="T578"/>
      <c r="U578"/>
      <c r="V578"/>
      <c r="W578" s="130" t="s">
        <v>903</v>
      </c>
      <c r="X578" s="130">
        <f>X580+X582+X584+X586+X588+X590</f>
        <v>6</v>
      </c>
    </row>
    <row r="579" spans="1:24" s="7" customFormat="1" x14ac:dyDescent="0.3">
      <c r="A579" t="s">
        <v>601</v>
      </c>
      <c r="B579" t="s">
        <v>873</v>
      </c>
      <c r="C579"/>
      <c r="D579"/>
      <c r="E579"/>
      <c r="F579"/>
      <c r="G579"/>
      <c r="H579"/>
      <c r="I579"/>
      <c r="J579"/>
      <c r="K579"/>
      <c r="L579"/>
      <c r="M579"/>
      <c r="N579"/>
      <c r="O579"/>
      <c r="P579"/>
      <c r="Q579"/>
      <c r="R579"/>
      <c r="S579"/>
      <c r="T579"/>
      <c r="U579"/>
      <c r="V579"/>
      <c r="W579" s="129" t="s">
        <v>904</v>
      </c>
      <c r="X579" s="129">
        <v>6</v>
      </c>
    </row>
    <row r="580" spans="1:24" s="7" customFormat="1" x14ac:dyDescent="0.3">
      <c r="A580" t="s">
        <v>601</v>
      </c>
      <c r="B580" t="s">
        <v>873</v>
      </c>
      <c r="C580"/>
      <c r="D580"/>
      <c r="E580"/>
      <c r="F580"/>
      <c r="G580"/>
      <c r="H580"/>
      <c r="I580"/>
      <c r="J580"/>
      <c r="K580"/>
      <c r="L580"/>
      <c r="M580"/>
      <c r="N580"/>
      <c r="O580"/>
      <c r="P580"/>
      <c r="Q580"/>
      <c r="R580"/>
      <c r="S580"/>
      <c r="T580"/>
      <c r="U580"/>
      <c r="V580"/>
      <c r="W580" s="129" t="s">
        <v>905</v>
      </c>
      <c r="X580" s="129">
        <v>0</v>
      </c>
    </row>
    <row r="581" spans="1:24" s="7" customFormat="1" x14ac:dyDescent="0.3">
      <c r="A581" t="s">
        <v>601</v>
      </c>
      <c r="B581" t="s">
        <v>873</v>
      </c>
      <c r="C581"/>
      <c r="D581"/>
      <c r="E581"/>
      <c r="F581"/>
      <c r="G581"/>
      <c r="H581"/>
      <c r="I581"/>
      <c r="J581"/>
      <c r="K581"/>
      <c r="L581"/>
      <c r="M581"/>
      <c r="N581"/>
      <c r="O581"/>
      <c r="P581"/>
      <c r="Q581"/>
      <c r="R581"/>
      <c r="S581"/>
      <c r="T581"/>
      <c r="U581"/>
      <c r="V581"/>
      <c r="W581" s="129" t="s">
        <v>906</v>
      </c>
      <c r="X581" s="129">
        <v>3</v>
      </c>
    </row>
    <row r="582" spans="1:24" s="7" customFormat="1" x14ac:dyDescent="0.3">
      <c r="A582" t="s">
        <v>601</v>
      </c>
      <c r="B582" t="s">
        <v>873</v>
      </c>
      <c r="C582"/>
      <c r="D582"/>
      <c r="E582"/>
      <c r="F582"/>
      <c r="G582"/>
      <c r="H582"/>
      <c r="I582"/>
      <c r="J582"/>
      <c r="K582"/>
      <c r="L582"/>
      <c r="M582"/>
      <c r="N582"/>
      <c r="O582"/>
      <c r="P582"/>
      <c r="Q582"/>
      <c r="R582"/>
      <c r="S582"/>
      <c r="T582"/>
      <c r="U582"/>
      <c r="V582"/>
      <c r="W582" s="129" t="s">
        <v>907</v>
      </c>
      <c r="X582" s="129">
        <v>0</v>
      </c>
    </row>
    <row r="583" spans="1:24" s="7" customFormat="1" x14ac:dyDescent="0.3">
      <c r="A583" t="s">
        <v>601</v>
      </c>
      <c r="B583" t="s">
        <v>873</v>
      </c>
      <c r="C583"/>
      <c r="D583"/>
      <c r="E583"/>
      <c r="F583"/>
      <c r="G583"/>
      <c r="H583"/>
      <c r="I583"/>
      <c r="J583"/>
      <c r="K583"/>
      <c r="L583"/>
      <c r="M583"/>
      <c r="N583"/>
      <c r="O583"/>
      <c r="P583"/>
      <c r="Q583"/>
      <c r="R583"/>
      <c r="S583"/>
      <c r="T583"/>
      <c r="U583"/>
      <c r="V583"/>
      <c r="W583" s="129" t="s">
        <v>908</v>
      </c>
      <c r="X583" s="129">
        <v>4</v>
      </c>
    </row>
    <row r="584" spans="1:24" s="7" customFormat="1" x14ac:dyDescent="0.3">
      <c r="A584" t="s">
        <v>601</v>
      </c>
      <c r="B584" t="s">
        <v>873</v>
      </c>
      <c r="C584"/>
      <c r="D584"/>
      <c r="E584"/>
      <c r="F584"/>
      <c r="G584"/>
      <c r="H584"/>
      <c r="I584"/>
      <c r="J584"/>
      <c r="K584"/>
      <c r="L584"/>
      <c r="M584"/>
      <c r="N584"/>
      <c r="O584"/>
      <c r="P584"/>
      <c r="Q584"/>
      <c r="R584"/>
      <c r="S584"/>
      <c r="T584"/>
      <c r="U584"/>
      <c r="V584"/>
      <c r="W584" s="129" t="s">
        <v>909</v>
      </c>
      <c r="X584" s="129">
        <v>0</v>
      </c>
    </row>
    <row r="585" spans="1:24" s="7" customFormat="1" x14ac:dyDescent="0.3">
      <c r="A585" t="s">
        <v>601</v>
      </c>
      <c r="B585" t="s">
        <v>873</v>
      </c>
      <c r="C585"/>
      <c r="D585"/>
      <c r="E585"/>
      <c r="F585"/>
      <c r="G585"/>
      <c r="H585"/>
      <c r="I585"/>
      <c r="J585"/>
      <c r="K585"/>
      <c r="L585"/>
      <c r="M585"/>
      <c r="N585"/>
      <c r="O585"/>
      <c r="P585"/>
      <c r="Q585"/>
      <c r="R585"/>
      <c r="S585"/>
      <c r="T585"/>
      <c r="U585"/>
      <c r="V585"/>
      <c r="W585" s="129" t="s">
        <v>910</v>
      </c>
      <c r="X585" s="129">
        <v>4</v>
      </c>
    </row>
    <row r="586" spans="1:24" s="7" customFormat="1" x14ac:dyDescent="0.3">
      <c r="A586" t="s">
        <v>601</v>
      </c>
      <c r="B586" t="s">
        <v>873</v>
      </c>
      <c r="C586"/>
      <c r="D586"/>
      <c r="E586"/>
      <c r="F586"/>
      <c r="G586"/>
      <c r="H586"/>
      <c r="I586"/>
      <c r="J586"/>
      <c r="K586"/>
      <c r="L586"/>
      <c r="M586"/>
      <c r="N586"/>
      <c r="O586"/>
      <c r="P586"/>
      <c r="Q586"/>
      <c r="R586"/>
      <c r="S586"/>
      <c r="T586"/>
      <c r="U586"/>
      <c r="V586"/>
      <c r="W586" s="129" t="s">
        <v>911</v>
      </c>
      <c r="X586" s="129">
        <v>0</v>
      </c>
    </row>
    <row r="587" spans="1:24" s="7" customFormat="1" x14ac:dyDescent="0.3">
      <c r="A587" t="s">
        <v>601</v>
      </c>
      <c r="B587" t="s">
        <v>873</v>
      </c>
      <c r="C587"/>
      <c r="D587"/>
      <c r="E587"/>
      <c r="F587"/>
      <c r="G587"/>
      <c r="H587"/>
      <c r="I587"/>
      <c r="J587"/>
      <c r="K587"/>
      <c r="L587"/>
      <c r="M587"/>
      <c r="N587"/>
      <c r="O587"/>
      <c r="P587"/>
      <c r="Q587"/>
      <c r="R587"/>
      <c r="S587"/>
      <c r="T587"/>
      <c r="U587"/>
      <c r="V587"/>
      <c r="W587" s="129" t="s">
        <v>912</v>
      </c>
      <c r="X587" s="129">
        <v>4</v>
      </c>
    </row>
    <row r="588" spans="1:24" s="7" customFormat="1" x14ac:dyDescent="0.3">
      <c r="A588" t="s">
        <v>601</v>
      </c>
      <c r="B588" t="s">
        <v>873</v>
      </c>
      <c r="C588"/>
      <c r="D588"/>
      <c r="E588"/>
      <c r="F588"/>
      <c r="G588"/>
      <c r="H588"/>
      <c r="I588"/>
      <c r="J588"/>
      <c r="K588"/>
      <c r="L588"/>
      <c r="M588"/>
      <c r="N588"/>
      <c r="O588"/>
      <c r="P588"/>
      <c r="Q588"/>
      <c r="R588"/>
      <c r="S588"/>
      <c r="T588"/>
      <c r="U588"/>
      <c r="V588"/>
      <c r="W588" s="129" t="s">
        <v>913</v>
      </c>
      <c r="X588" s="129">
        <v>6</v>
      </c>
    </row>
    <row r="589" spans="1:24" s="7" customFormat="1" x14ac:dyDescent="0.3">
      <c r="A589" t="s">
        <v>601</v>
      </c>
      <c r="B589" t="s">
        <v>873</v>
      </c>
      <c r="C589"/>
      <c r="D589"/>
      <c r="E589"/>
      <c r="F589"/>
      <c r="G589"/>
      <c r="H589"/>
      <c r="I589"/>
      <c r="J589"/>
      <c r="K589"/>
      <c r="L589"/>
      <c r="M589"/>
      <c r="N589"/>
      <c r="O589"/>
      <c r="P589"/>
      <c r="Q589"/>
      <c r="R589"/>
      <c r="S589"/>
      <c r="T589"/>
      <c r="U589"/>
      <c r="V589"/>
      <c r="W589" s="129" t="s">
        <v>914</v>
      </c>
      <c r="X589" s="129">
        <v>0</v>
      </c>
    </row>
    <row r="590" spans="1:24" s="7" customFormat="1" x14ac:dyDescent="0.3">
      <c r="A590" t="s">
        <v>601</v>
      </c>
      <c r="B590" t="s">
        <v>873</v>
      </c>
      <c r="C590"/>
      <c r="D590"/>
      <c r="E590"/>
      <c r="F590"/>
      <c r="G590"/>
      <c r="H590"/>
      <c r="I590"/>
      <c r="J590"/>
      <c r="K590"/>
      <c r="L590"/>
      <c r="M590"/>
      <c r="N590"/>
      <c r="O590"/>
      <c r="P590"/>
      <c r="Q590"/>
      <c r="R590"/>
      <c r="S590"/>
      <c r="T590"/>
      <c r="U590"/>
      <c r="V590"/>
      <c r="W590" s="129" t="s">
        <v>915</v>
      </c>
      <c r="X590" s="129">
        <v>0</v>
      </c>
    </row>
    <row r="591" spans="1:24" s="7" customFormat="1" x14ac:dyDescent="0.3">
      <c r="A591" t="s">
        <v>601</v>
      </c>
      <c r="B591" t="s">
        <v>873</v>
      </c>
      <c r="C591"/>
      <c r="D591"/>
      <c r="E591"/>
      <c r="F591"/>
      <c r="G591"/>
      <c r="H591"/>
      <c r="I591"/>
      <c r="J591"/>
      <c r="K591"/>
      <c r="L591"/>
      <c r="M591"/>
      <c r="N591"/>
      <c r="O591"/>
      <c r="P591"/>
      <c r="Q591"/>
      <c r="R591"/>
      <c r="S591"/>
      <c r="T591"/>
      <c r="U591"/>
      <c r="V591"/>
      <c r="W591" s="110" t="s">
        <v>916</v>
      </c>
      <c r="X591" s="109">
        <v>122</v>
      </c>
    </row>
    <row r="592" spans="1:24" s="7" customFormat="1" x14ac:dyDescent="0.3">
      <c r="A592" t="s">
        <v>601</v>
      </c>
      <c r="B592" t="s">
        <v>873</v>
      </c>
      <c r="C592"/>
      <c r="D592"/>
      <c r="E592"/>
      <c r="F592"/>
      <c r="G592"/>
      <c r="H592"/>
      <c r="I592"/>
      <c r="J592"/>
      <c r="K592"/>
      <c r="L592"/>
      <c r="M592"/>
      <c r="N592"/>
      <c r="O592"/>
      <c r="P592"/>
      <c r="Q592"/>
      <c r="R592"/>
      <c r="S592"/>
      <c r="T592"/>
      <c r="U592"/>
      <c r="V592"/>
      <c r="W592" s="130" t="s">
        <v>917</v>
      </c>
      <c r="X592" s="130">
        <f>X545+X549+X555+X577</f>
        <v>66</v>
      </c>
    </row>
    <row r="593" spans="1:24" s="7" customFormat="1" x14ac:dyDescent="0.3">
      <c r="A593" t="s">
        <v>601</v>
      </c>
      <c r="B593" t="s">
        <v>873</v>
      </c>
      <c r="C593"/>
      <c r="D593"/>
      <c r="E593"/>
      <c r="F593"/>
      <c r="G593"/>
      <c r="H593"/>
      <c r="I593"/>
      <c r="J593"/>
      <c r="K593"/>
      <c r="L593"/>
      <c r="M593"/>
      <c r="N593"/>
      <c r="O593"/>
      <c r="P593"/>
      <c r="Q593"/>
      <c r="R593"/>
      <c r="S593"/>
      <c r="T593"/>
      <c r="U593"/>
      <c r="V593"/>
      <c r="W593" s="68" t="s">
        <v>918</v>
      </c>
      <c r="X593" s="130">
        <f>X546+X550+X556+X578</f>
        <v>148</v>
      </c>
    </row>
    <row r="594" spans="1:24" s="7" customFormat="1" x14ac:dyDescent="0.3">
      <c r="A594" t="s">
        <v>601</v>
      </c>
      <c r="B594" t="s">
        <v>921</v>
      </c>
      <c r="C594"/>
      <c r="D594"/>
      <c r="E594"/>
      <c r="F594"/>
      <c r="G594"/>
      <c r="H594"/>
      <c r="I594"/>
      <c r="J594"/>
      <c r="K594"/>
      <c r="L594"/>
      <c r="M594"/>
      <c r="N594"/>
      <c r="O594"/>
      <c r="P594"/>
      <c r="Q594"/>
      <c r="R594"/>
      <c r="S594"/>
      <c r="T594"/>
      <c r="U594"/>
      <c r="V594"/>
      <c r="W594" s="129" t="s">
        <v>922</v>
      </c>
      <c r="X594" s="129">
        <v>1</v>
      </c>
    </row>
    <row r="595" spans="1:24" s="7" customFormat="1" x14ac:dyDescent="0.3">
      <c r="A595" t="s">
        <v>601</v>
      </c>
      <c r="B595" t="s">
        <v>921</v>
      </c>
      <c r="C595"/>
      <c r="D595"/>
      <c r="E595"/>
      <c r="F595"/>
      <c r="G595"/>
      <c r="H595"/>
      <c r="I595"/>
      <c r="J595"/>
      <c r="K595"/>
      <c r="L595"/>
      <c r="M595"/>
      <c r="N595"/>
      <c r="O595"/>
      <c r="P595"/>
      <c r="Q595"/>
      <c r="R595"/>
      <c r="S595"/>
      <c r="T595"/>
      <c r="U595"/>
      <c r="V595"/>
      <c r="W595" s="129" t="s">
        <v>923</v>
      </c>
      <c r="X595" s="129">
        <v>6</v>
      </c>
    </row>
    <row r="596" spans="1:24" s="7" customFormat="1" x14ac:dyDescent="0.3">
      <c r="A596" t="s">
        <v>601</v>
      </c>
      <c r="B596" t="s">
        <v>921</v>
      </c>
      <c r="C596"/>
      <c r="D596"/>
      <c r="E596"/>
      <c r="F596"/>
      <c r="G596"/>
      <c r="H596"/>
      <c r="I596"/>
      <c r="J596"/>
      <c r="K596"/>
      <c r="L596"/>
      <c r="M596"/>
      <c r="N596"/>
      <c r="O596"/>
      <c r="P596"/>
      <c r="Q596"/>
      <c r="R596"/>
      <c r="S596"/>
      <c r="T596"/>
      <c r="U596"/>
      <c r="V596"/>
      <c r="W596" s="129" t="s">
        <v>924</v>
      </c>
      <c r="X596" s="129">
        <v>117</v>
      </c>
    </row>
    <row r="597" spans="1:24" s="7" customFormat="1" x14ac:dyDescent="0.3">
      <c r="A597" t="s">
        <v>601</v>
      </c>
      <c r="B597" t="s">
        <v>921</v>
      </c>
      <c r="C597"/>
      <c r="D597"/>
      <c r="E597"/>
      <c r="F597"/>
      <c r="G597"/>
      <c r="H597"/>
      <c r="I597"/>
      <c r="J597"/>
      <c r="K597"/>
      <c r="L597"/>
      <c r="M597"/>
      <c r="N597"/>
      <c r="O597"/>
      <c r="P597"/>
      <c r="Q597"/>
      <c r="R597"/>
      <c r="S597"/>
      <c r="T597"/>
      <c r="U597"/>
      <c r="V597"/>
      <c r="W597" s="129" t="s">
        <v>925</v>
      </c>
      <c r="X597" s="129">
        <v>25</v>
      </c>
    </row>
    <row r="598" spans="1:24" s="7" customFormat="1" x14ac:dyDescent="0.3">
      <c r="A598" t="s">
        <v>601</v>
      </c>
      <c r="B598" t="s">
        <v>921</v>
      </c>
      <c r="C598"/>
      <c r="D598"/>
      <c r="E598"/>
      <c r="F598"/>
      <c r="G598"/>
      <c r="H598"/>
      <c r="I598"/>
      <c r="J598"/>
      <c r="K598"/>
      <c r="L598"/>
      <c r="M598"/>
      <c r="N598"/>
      <c r="O598"/>
      <c r="P598"/>
      <c r="Q598"/>
      <c r="R598"/>
      <c r="S598"/>
      <c r="T598"/>
      <c r="U598"/>
      <c r="V598"/>
      <c r="W598" s="129" t="s">
        <v>926</v>
      </c>
      <c r="X598" s="129">
        <v>6</v>
      </c>
    </row>
    <row r="599" spans="1:24" s="7" customFormat="1" x14ac:dyDescent="0.3">
      <c r="A599" t="s">
        <v>601</v>
      </c>
      <c r="B599" t="s">
        <v>921</v>
      </c>
      <c r="C599"/>
      <c r="D599"/>
      <c r="E599"/>
      <c r="F599"/>
      <c r="G599"/>
      <c r="H599"/>
      <c r="I599"/>
      <c r="J599"/>
      <c r="K599"/>
      <c r="L599"/>
      <c r="M599"/>
      <c r="N599"/>
      <c r="O599"/>
      <c r="P599"/>
      <c r="Q599"/>
      <c r="R599"/>
      <c r="S599"/>
      <c r="T599"/>
      <c r="U599"/>
      <c r="V599"/>
      <c r="W599" s="129" t="s">
        <v>927</v>
      </c>
      <c r="X599" s="129">
        <v>131</v>
      </c>
    </row>
    <row r="600" spans="1:24" s="7" customFormat="1" x14ac:dyDescent="0.3">
      <c r="A600" t="s">
        <v>601</v>
      </c>
      <c r="B600" t="s">
        <v>921</v>
      </c>
      <c r="C600"/>
      <c r="D600"/>
      <c r="E600"/>
      <c r="F600"/>
      <c r="G600"/>
      <c r="H600"/>
      <c r="I600"/>
      <c r="J600"/>
      <c r="K600"/>
      <c r="L600"/>
      <c r="M600"/>
      <c r="N600"/>
      <c r="O600"/>
      <c r="P600"/>
      <c r="Q600"/>
      <c r="R600"/>
      <c r="S600"/>
      <c r="T600"/>
      <c r="U600"/>
      <c r="V600"/>
      <c r="W600" s="129" t="s">
        <v>928</v>
      </c>
      <c r="X600" s="129">
        <v>68</v>
      </c>
    </row>
    <row r="601" spans="1:24" s="7" customFormat="1" x14ac:dyDescent="0.3">
      <c r="A601" t="s">
        <v>601</v>
      </c>
      <c r="B601" t="s">
        <v>921</v>
      </c>
      <c r="C601"/>
      <c r="D601"/>
      <c r="E601"/>
      <c r="F601"/>
      <c r="G601"/>
      <c r="H601"/>
      <c r="I601"/>
      <c r="J601"/>
      <c r="K601"/>
      <c r="L601"/>
      <c r="M601"/>
      <c r="N601"/>
      <c r="O601"/>
      <c r="P601"/>
      <c r="Q601"/>
      <c r="R601"/>
      <c r="S601"/>
      <c r="T601"/>
      <c r="U601"/>
      <c r="V601"/>
      <c r="W601" s="129" t="s">
        <v>929</v>
      </c>
      <c r="X601" s="129">
        <v>653</v>
      </c>
    </row>
    <row r="602" spans="1:24" s="7" customFormat="1" x14ac:dyDescent="0.3">
      <c r="A602" t="s">
        <v>601</v>
      </c>
      <c r="B602" t="s">
        <v>921</v>
      </c>
      <c r="C602"/>
      <c r="D602"/>
      <c r="E602"/>
      <c r="F602"/>
      <c r="G602"/>
      <c r="H602"/>
      <c r="I602"/>
      <c r="J602"/>
      <c r="K602"/>
      <c r="L602"/>
      <c r="M602"/>
      <c r="N602"/>
      <c r="O602"/>
      <c r="P602"/>
      <c r="Q602"/>
      <c r="R602"/>
      <c r="S602"/>
      <c r="T602"/>
      <c r="U602"/>
      <c r="V602"/>
      <c r="W602" s="68" t="s">
        <v>930</v>
      </c>
      <c r="X602" s="130">
        <f>X594+X595+X596+X597+X598+X600+X601</f>
        <v>876</v>
      </c>
    </row>
    <row r="603" spans="1:24" s="7" customFormat="1" x14ac:dyDescent="0.3">
      <c r="A603" t="s">
        <v>601</v>
      </c>
      <c r="B603" t="s">
        <v>921</v>
      </c>
      <c r="C603"/>
      <c r="D603"/>
      <c r="E603"/>
      <c r="F603"/>
      <c r="G603"/>
      <c r="H603"/>
      <c r="I603"/>
      <c r="J603"/>
      <c r="K603"/>
      <c r="L603"/>
      <c r="M603"/>
      <c r="N603"/>
      <c r="O603"/>
      <c r="P603"/>
      <c r="Q603"/>
      <c r="R603"/>
      <c r="S603"/>
      <c r="T603"/>
      <c r="U603"/>
      <c r="V603"/>
      <c r="W603" s="68" t="s">
        <v>931</v>
      </c>
      <c r="X603" s="130">
        <f>X599</f>
        <v>131</v>
      </c>
    </row>
    <row r="604" spans="1:24" s="7" customFormat="1" x14ac:dyDescent="0.3">
      <c r="A604" t="s">
        <v>601</v>
      </c>
      <c r="B604" t="s">
        <v>921</v>
      </c>
      <c r="C604"/>
      <c r="D604"/>
      <c r="E604"/>
      <c r="F604"/>
      <c r="G604"/>
      <c r="H604"/>
      <c r="I604"/>
      <c r="J604"/>
      <c r="K604"/>
      <c r="L604"/>
      <c r="M604"/>
      <c r="N604"/>
      <c r="O604"/>
      <c r="P604"/>
      <c r="Q604"/>
      <c r="R604"/>
      <c r="S604"/>
      <c r="T604"/>
      <c r="U604"/>
      <c r="V604"/>
      <c r="W604" s="7" t="s">
        <v>932</v>
      </c>
      <c r="X604" s="129">
        <v>954</v>
      </c>
    </row>
    <row r="605" spans="1:24" s="7" customFormat="1" x14ac:dyDescent="0.3">
      <c r="A605" t="s">
        <v>112</v>
      </c>
      <c r="B605" t="s">
        <v>935</v>
      </c>
      <c r="C605"/>
      <c r="D605"/>
      <c r="E605"/>
      <c r="F605"/>
      <c r="G605"/>
      <c r="H605"/>
      <c r="I605"/>
      <c r="J605"/>
      <c r="K605"/>
      <c r="L605"/>
      <c r="M605"/>
      <c r="N605"/>
      <c r="O605"/>
      <c r="P605"/>
      <c r="Q605"/>
      <c r="R605"/>
      <c r="S605"/>
      <c r="T605"/>
      <c r="U605"/>
      <c r="V605"/>
      <c r="W605" s="129" t="s">
        <v>936</v>
      </c>
      <c r="X605" s="129">
        <v>0</v>
      </c>
    </row>
    <row r="606" spans="1:24" s="7" customFormat="1" x14ac:dyDescent="0.3">
      <c r="A606" t="s">
        <v>112</v>
      </c>
      <c r="B606" t="s">
        <v>935</v>
      </c>
      <c r="C606"/>
      <c r="D606"/>
      <c r="E606"/>
      <c r="F606"/>
      <c r="G606"/>
      <c r="H606"/>
      <c r="I606"/>
      <c r="J606"/>
      <c r="K606"/>
      <c r="L606"/>
      <c r="M606"/>
      <c r="N606"/>
      <c r="O606"/>
      <c r="P606"/>
      <c r="Q606"/>
      <c r="R606"/>
      <c r="S606"/>
      <c r="T606"/>
      <c r="U606"/>
      <c r="V606"/>
      <c r="W606" s="129" t="s">
        <v>937</v>
      </c>
      <c r="X606" s="129">
        <v>0</v>
      </c>
    </row>
    <row r="607" spans="1:24" s="7" customFormat="1" x14ac:dyDescent="0.3">
      <c r="A607" t="s">
        <v>112</v>
      </c>
      <c r="B607" t="s">
        <v>935</v>
      </c>
      <c r="C607"/>
      <c r="D607"/>
      <c r="E607"/>
      <c r="F607"/>
      <c r="G607"/>
      <c r="H607"/>
      <c r="I607"/>
      <c r="J607"/>
      <c r="K607"/>
      <c r="L607"/>
      <c r="M607"/>
      <c r="N607"/>
      <c r="O607"/>
      <c r="P607"/>
      <c r="Q607"/>
      <c r="R607"/>
      <c r="S607"/>
      <c r="T607"/>
      <c r="U607"/>
      <c r="V607"/>
      <c r="W607" s="129" t="s">
        <v>938</v>
      </c>
      <c r="X607" s="129">
        <v>7985</v>
      </c>
    </row>
    <row r="608" spans="1:24" s="7" customFormat="1" x14ac:dyDescent="0.3">
      <c r="A608" t="s">
        <v>112</v>
      </c>
      <c r="B608" t="s">
        <v>935</v>
      </c>
      <c r="C608"/>
      <c r="D608"/>
      <c r="E608"/>
      <c r="F608"/>
      <c r="G608"/>
      <c r="H608"/>
      <c r="I608"/>
      <c r="J608"/>
      <c r="K608"/>
      <c r="L608"/>
      <c r="M608"/>
      <c r="N608"/>
      <c r="O608"/>
      <c r="P608"/>
      <c r="Q608"/>
      <c r="R608"/>
      <c r="S608"/>
      <c r="T608"/>
      <c r="U608"/>
      <c r="V608"/>
      <c r="W608" s="129" t="s">
        <v>939</v>
      </c>
      <c r="X608" s="129">
        <v>8714</v>
      </c>
    </row>
    <row r="609" spans="1:24" s="7" customFormat="1" x14ac:dyDescent="0.3">
      <c r="A609" t="s">
        <v>112</v>
      </c>
      <c r="B609" t="s">
        <v>935</v>
      </c>
      <c r="C609"/>
      <c r="D609"/>
      <c r="E609"/>
      <c r="F609"/>
      <c r="G609"/>
      <c r="H609"/>
      <c r="I609"/>
      <c r="J609"/>
      <c r="K609"/>
      <c r="L609"/>
      <c r="M609"/>
      <c r="N609"/>
      <c r="O609"/>
      <c r="P609"/>
      <c r="Q609"/>
      <c r="R609"/>
      <c r="S609"/>
      <c r="T609"/>
      <c r="U609"/>
      <c r="V609"/>
      <c r="W609" s="129" t="s">
        <v>940</v>
      </c>
      <c r="X609" s="129">
        <v>21140</v>
      </c>
    </row>
    <row r="610" spans="1:24" s="7" customFormat="1" x14ac:dyDescent="0.3">
      <c r="A610" t="s">
        <v>112</v>
      </c>
      <c r="B610" t="s">
        <v>935</v>
      </c>
      <c r="C610"/>
      <c r="D610"/>
      <c r="E610"/>
      <c r="F610"/>
      <c r="G610"/>
      <c r="H610"/>
      <c r="I610"/>
      <c r="J610"/>
      <c r="K610"/>
      <c r="L610"/>
      <c r="M610"/>
      <c r="N610"/>
      <c r="O610"/>
      <c r="P610"/>
      <c r="Q610"/>
      <c r="R610"/>
      <c r="S610"/>
      <c r="T610"/>
      <c r="U610"/>
      <c r="V610"/>
      <c r="W610" s="129" t="s">
        <v>941</v>
      </c>
      <c r="X610" s="129">
        <v>20336</v>
      </c>
    </row>
    <row r="611" spans="1:24" s="7" customFormat="1" x14ac:dyDescent="0.3">
      <c r="A611" t="s">
        <v>112</v>
      </c>
      <c r="B611" t="s">
        <v>935</v>
      </c>
      <c r="C611"/>
      <c r="D611"/>
      <c r="E611"/>
      <c r="F611"/>
      <c r="G611"/>
      <c r="H611"/>
      <c r="I611"/>
      <c r="J611"/>
      <c r="K611"/>
      <c r="L611"/>
      <c r="M611"/>
      <c r="N611"/>
      <c r="O611"/>
      <c r="P611"/>
      <c r="Q611"/>
      <c r="R611"/>
      <c r="S611"/>
      <c r="T611"/>
      <c r="U611"/>
      <c r="V611"/>
      <c r="W611" s="129" t="s">
        <v>942</v>
      </c>
      <c r="X611" s="129">
        <v>24950</v>
      </c>
    </row>
    <row r="612" spans="1:24" s="7" customFormat="1" x14ac:dyDescent="0.3">
      <c r="A612" t="s">
        <v>112</v>
      </c>
      <c r="B612" t="s">
        <v>935</v>
      </c>
      <c r="C612"/>
      <c r="D612"/>
      <c r="E612"/>
      <c r="F612"/>
      <c r="G612"/>
      <c r="H612"/>
      <c r="I612"/>
      <c r="J612"/>
      <c r="K612"/>
      <c r="L612"/>
      <c r="M612"/>
      <c r="N612"/>
      <c r="O612"/>
      <c r="P612"/>
      <c r="Q612"/>
      <c r="R612"/>
      <c r="S612"/>
      <c r="T612"/>
      <c r="U612"/>
      <c r="V612"/>
      <c r="W612" s="129" t="s">
        <v>943</v>
      </c>
      <c r="X612" s="129">
        <v>25100</v>
      </c>
    </row>
    <row r="613" spans="1:24" s="7" customFormat="1" x14ac:dyDescent="0.3">
      <c r="A613" t="s">
        <v>112</v>
      </c>
      <c r="B613" t="s">
        <v>935</v>
      </c>
      <c r="C613"/>
      <c r="D613"/>
      <c r="E613"/>
      <c r="F613"/>
      <c r="G613"/>
      <c r="H613"/>
      <c r="I613"/>
      <c r="J613"/>
      <c r="K613"/>
      <c r="L613"/>
      <c r="M613"/>
      <c r="N613"/>
      <c r="O613"/>
      <c r="P613"/>
      <c r="Q613"/>
      <c r="R613"/>
      <c r="S613"/>
      <c r="T613"/>
      <c r="U613"/>
      <c r="V613"/>
      <c r="W613" s="129" t="s">
        <v>944</v>
      </c>
      <c r="X613" s="129">
        <v>7586</v>
      </c>
    </row>
    <row r="614" spans="1:24" s="7" customFormat="1" x14ac:dyDescent="0.3">
      <c r="A614" t="s">
        <v>112</v>
      </c>
      <c r="B614" t="s">
        <v>935</v>
      </c>
      <c r="C614"/>
      <c r="D614"/>
      <c r="E614"/>
      <c r="F614"/>
      <c r="G614"/>
      <c r="H614"/>
      <c r="I614"/>
      <c r="J614"/>
      <c r="K614"/>
      <c r="L614"/>
      <c r="M614"/>
      <c r="N614"/>
      <c r="O614"/>
      <c r="P614"/>
      <c r="Q614"/>
      <c r="R614"/>
      <c r="S614"/>
      <c r="T614"/>
      <c r="U614"/>
      <c r="V614"/>
      <c r="W614" s="129" t="s">
        <v>945</v>
      </c>
      <c r="X614" s="129">
        <v>8040</v>
      </c>
    </row>
    <row r="615" spans="1:24" s="7" customFormat="1" x14ac:dyDescent="0.3">
      <c r="A615" t="s">
        <v>112</v>
      </c>
      <c r="B615" t="s">
        <v>935</v>
      </c>
      <c r="C615"/>
      <c r="D615"/>
      <c r="E615"/>
      <c r="F615"/>
      <c r="G615"/>
      <c r="H615"/>
      <c r="I615"/>
      <c r="J615"/>
      <c r="K615"/>
      <c r="L615"/>
      <c r="M615"/>
      <c r="N615"/>
      <c r="O615"/>
      <c r="P615"/>
      <c r="Q615"/>
      <c r="R615"/>
      <c r="S615"/>
      <c r="T615"/>
      <c r="U615"/>
      <c r="V615"/>
      <c r="W615" s="129" t="s">
        <v>946</v>
      </c>
      <c r="X615" s="129">
        <v>0</v>
      </c>
    </row>
    <row r="616" spans="1:24" s="7" customFormat="1" x14ac:dyDescent="0.3">
      <c r="A616" t="s">
        <v>112</v>
      </c>
      <c r="B616" t="s">
        <v>935</v>
      </c>
      <c r="C616"/>
      <c r="D616"/>
      <c r="E616"/>
      <c r="F616"/>
      <c r="G616"/>
      <c r="H616"/>
      <c r="I616"/>
      <c r="J616"/>
      <c r="K616"/>
      <c r="L616"/>
      <c r="M616"/>
      <c r="N616"/>
      <c r="O616"/>
      <c r="P616"/>
      <c r="Q616"/>
      <c r="R616"/>
      <c r="S616"/>
      <c r="T616"/>
      <c r="U616"/>
      <c r="V616"/>
      <c r="W616" s="129" t="s">
        <v>947</v>
      </c>
      <c r="X616" s="129">
        <v>0</v>
      </c>
    </row>
    <row r="617" spans="1:24" s="7" customFormat="1" x14ac:dyDescent="0.3">
      <c r="A617" t="s">
        <v>112</v>
      </c>
      <c r="B617" t="s">
        <v>935</v>
      </c>
      <c r="C617"/>
      <c r="D617"/>
      <c r="E617"/>
      <c r="F617"/>
      <c r="G617"/>
      <c r="H617"/>
      <c r="I617"/>
      <c r="J617"/>
      <c r="K617"/>
      <c r="L617"/>
      <c r="M617"/>
      <c r="N617"/>
      <c r="O617"/>
      <c r="P617"/>
      <c r="Q617"/>
      <c r="R617"/>
      <c r="S617"/>
      <c r="T617"/>
      <c r="U617"/>
      <c r="V617"/>
      <c r="W617" s="129" t="s">
        <v>948</v>
      </c>
      <c r="X617" s="129">
        <v>9663</v>
      </c>
    </row>
    <row r="618" spans="1:24" s="7" customFormat="1" x14ac:dyDescent="0.3">
      <c r="A618" t="s">
        <v>112</v>
      </c>
      <c r="B618" t="s">
        <v>935</v>
      </c>
      <c r="C618"/>
      <c r="D618"/>
      <c r="E618"/>
      <c r="F618"/>
      <c r="G618"/>
      <c r="H618"/>
      <c r="I618"/>
      <c r="J618"/>
      <c r="K618"/>
      <c r="L618"/>
      <c r="M618"/>
      <c r="N618"/>
      <c r="O618"/>
      <c r="P618"/>
      <c r="Q618"/>
      <c r="R618"/>
      <c r="S618"/>
      <c r="T618"/>
      <c r="U618"/>
      <c r="V618"/>
      <c r="W618" s="129" t="s">
        <v>949</v>
      </c>
      <c r="X618" s="129">
        <v>9721</v>
      </c>
    </row>
    <row r="619" spans="1:24" s="7" customFormat="1" x14ac:dyDescent="0.3">
      <c r="A619" t="s">
        <v>112</v>
      </c>
      <c r="B619" t="s">
        <v>935</v>
      </c>
      <c r="C619"/>
      <c r="D619"/>
      <c r="E619"/>
      <c r="F619"/>
      <c r="G619"/>
      <c r="H619"/>
      <c r="I619"/>
      <c r="J619"/>
      <c r="K619"/>
      <c r="L619"/>
      <c r="M619"/>
      <c r="N619"/>
      <c r="O619"/>
      <c r="P619"/>
      <c r="Q619"/>
      <c r="R619"/>
      <c r="S619"/>
      <c r="T619"/>
      <c r="U619"/>
      <c r="V619"/>
      <c r="W619" s="129" t="s">
        <v>950</v>
      </c>
      <c r="X619" s="129">
        <v>47705</v>
      </c>
    </row>
    <row r="620" spans="1:24" s="7" customFormat="1" x14ac:dyDescent="0.3">
      <c r="A620" t="s">
        <v>112</v>
      </c>
      <c r="B620" t="s">
        <v>935</v>
      </c>
      <c r="C620"/>
      <c r="D620"/>
      <c r="E620"/>
      <c r="F620"/>
      <c r="G620"/>
      <c r="H620"/>
      <c r="I620"/>
      <c r="J620"/>
      <c r="K620"/>
      <c r="L620"/>
      <c r="M620"/>
      <c r="N620"/>
      <c r="O620"/>
      <c r="P620"/>
      <c r="Q620"/>
      <c r="R620"/>
      <c r="S620"/>
      <c r="T620"/>
      <c r="U620"/>
      <c r="V620"/>
      <c r="W620" s="129" t="s">
        <v>951</v>
      </c>
      <c r="X620" s="129">
        <v>51103</v>
      </c>
    </row>
    <row r="621" spans="1:24" s="7" customFormat="1" x14ac:dyDescent="0.3">
      <c r="A621" t="s">
        <v>112</v>
      </c>
      <c r="B621" t="s">
        <v>935</v>
      </c>
      <c r="C621"/>
      <c r="D621"/>
      <c r="E621"/>
      <c r="F621"/>
      <c r="G621"/>
      <c r="H621"/>
      <c r="I621"/>
      <c r="J621"/>
      <c r="K621"/>
      <c r="L621"/>
      <c r="M621"/>
      <c r="N621"/>
      <c r="O621"/>
      <c r="P621"/>
      <c r="Q621"/>
      <c r="R621"/>
      <c r="S621"/>
      <c r="T621"/>
      <c r="U621"/>
      <c r="V621"/>
      <c r="W621" s="130" t="s">
        <v>952</v>
      </c>
      <c r="X621" s="130">
        <f>X607+X605</f>
        <v>7985</v>
      </c>
    </row>
    <row r="622" spans="1:24" s="7" customFormat="1" x14ac:dyDescent="0.3">
      <c r="A622" t="s">
        <v>112</v>
      </c>
      <c r="B622" t="s">
        <v>935</v>
      </c>
      <c r="C622"/>
      <c r="D622"/>
      <c r="E622"/>
      <c r="F622"/>
      <c r="G622"/>
      <c r="H622"/>
      <c r="I622"/>
      <c r="J622"/>
      <c r="K622"/>
      <c r="L622"/>
      <c r="M622"/>
      <c r="N622"/>
      <c r="O622"/>
      <c r="P622"/>
      <c r="Q622"/>
      <c r="R622"/>
      <c r="S622"/>
      <c r="T622"/>
      <c r="U622"/>
      <c r="V622"/>
      <c r="W622" s="130" t="s">
        <v>953</v>
      </c>
      <c r="X622" s="130">
        <f>X606+X608</f>
        <v>8714</v>
      </c>
    </row>
    <row r="623" spans="1:24" s="7" customFormat="1" x14ac:dyDescent="0.3">
      <c r="A623" t="s">
        <v>112</v>
      </c>
      <c r="B623" t="s">
        <v>935</v>
      </c>
      <c r="C623"/>
      <c r="D623"/>
      <c r="E623"/>
      <c r="F623"/>
      <c r="G623"/>
      <c r="H623"/>
      <c r="I623"/>
      <c r="J623"/>
      <c r="K623"/>
      <c r="L623"/>
      <c r="M623"/>
      <c r="N623"/>
      <c r="O623"/>
      <c r="P623"/>
      <c r="Q623"/>
      <c r="R623"/>
      <c r="S623"/>
      <c r="T623"/>
      <c r="U623"/>
      <c r="V623"/>
      <c r="W623" s="130" t="s">
        <v>954</v>
      </c>
      <c r="X623" s="68">
        <f>X609+X611+X613+X615</f>
        <v>53676</v>
      </c>
    </row>
    <row r="624" spans="1:24" s="7" customFormat="1" x14ac:dyDescent="0.3">
      <c r="A624" t="s">
        <v>112</v>
      </c>
      <c r="B624" t="s">
        <v>935</v>
      </c>
      <c r="C624"/>
      <c r="D624"/>
      <c r="E624"/>
      <c r="F624"/>
      <c r="G624"/>
      <c r="H624"/>
      <c r="I624"/>
      <c r="J624"/>
      <c r="K624"/>
      <c r="L624"/>
      <c r="M624"/>
      <c r="N624"/>
      <c r="O624"/>
      <c r="P624"/>
      <c r="Q624"/>
      <c r="R624"/>
      <c r="S624"/>
      <c r="T624"/>
      <c r="U624"/>
      <c r="V624"/>
      <c r="W624" s="130" t="s">
        <v>955</v>
      </c>
      <c r="X624" s="68">
        <f>X610+X612+X614+X616</f>
        <v>53476</v>
      </c>
    </row>
    <row r="625" spans="1:24" s="7" customFormat="1" x14ac:dyDescent="0.3">
      <c r="A625" t="s">
        <v>112</v>
      </c>
      <c r="B625" t="s">
        <v>935</v>
      </c>
      <c r="C625"/>
      <c r="D625"/>
      <c r="E625"/>
      <c r="F625"/>
      <c r="G625"/>
      <c r="H625"/>
      <c r="I625"/>
      <c r="J625"/>
      <c r="K625"/>
      <c r="L625"/>
      <c r="M625"/>
      <c r="N625"/>
      <c r="O625"/>
      <c r="P625"/>
      <c r="Q625"/>
      <c r="R625"/>
      <c r="S625"/>
      <c r="T625"/>
      <c r="U625"/>
      <c r="V625"/>
      <c r="W625" s="130" t="s">
        <v>956</v>
      </c>
      <c r="X625" s="130">
        <f>X617+X619</f>
        <v>57368</v>
      </c>
    </row>
    <row r="626" spans="1:24" s="7" customFormat="1" x14ac:dyDescent="0.3">
      <c r="A626" t="s">
        <v>112</v>
      </c>
      <c r="B626" t="s">
        <v>935</v>
      </c>
      <c r="C626"/>
      <c r="D626"/>
      <c r="E626"/>
      <c r="F626"/>
      <c r="G626"/>
      <c r="H626"/>
      <c r="I626"/>
      <c r="J626"/>
      <c r="K626"/>
      <c r="L626"/>
      <c r="M626"/>
      <c r="N626"/>
      <c r="O626"/>
      <c r="P626"/>
      <c r="Q626"/>
      <c r="R626"/>
      <c r="S626"/>
      <c r="T626"/>
      <c r="U626"/>
      <c r="V626"/>
      <c r="W626" s="130" t="s">
        <v>957</v>
      </c>
      <c r="X626" s="130">
        <f>X618+X620</f>
        <v>60824</v>
      </c>
    </row>
    <row r="627" spans="1:24" s="7" customFormat="1" x14ac:dyDescent="0.3">
      <c r="A627" t="s">
        <v>112</v>
      </c>
      <c r="B627" t="s">
        <v>935</v>
      </c>
      <c r="C627"/>
      <c r="D627"/>
      <c r="E627"/>
      <c r="F627"/>
      <c r="G627"/>
      <c r="H627"/>
      <c r="I627"/>
      <c r="J627"/>
      <c r="K627"/>
      <c r="L627"/>
      <c r="M627"/>
      <c r="N627"/>
      <c r="O627"/>
      <c r="P627"/>
      <c r="Q627"/>
      <c r="R627"/>
      <c r="S627"/>
      <c r="T627"/>
      <c r="U627"/>
      <c r="V627"/>
      <c r="W627" s="130" t="s">
        <v>958</v>
      </c>
      <c r="X627" s="130">
        <f>X621+X623+X625</f>
        <v>119029</v>
      </c>
    </row>
    <row r="628" spans="1:24" s="7" customFormat="1" x14ac:dyDescent="0.3">
      <c r="A628" t="s">
        <v>112</v>
      </c>
      <c r="B628" t="s">
        <v>935</v>
      </c>
      <c r="C628"/>
      <c r="D628"/>
      <c r="E628"/>
      <c r="F628"/>
      <c r="G628"/>
      <c r="H628"/>
      <c r="I628"/>
      <c r="J628"/>
      <c r="K628"/>
      <c r="L628"/>
      <c r="M628"/>
      <c r="N628"/>
      <c r="O628"/>
      <c r="P628"/>
      <c r="Q628"/>
      <c r="R628"/>
      <c r="S628"/>
      <c r="T628"/>
      <c r="U628"/>
      <c r="V628"/>
      <c r="W628" s="130" t="s">
        <v>959</v>
      </c>
      <c r="X628" s="130">
        <f>X622+X624+X626</f>
        <v>123014</v>
      </c>
    </row>
    <row r="629" spans="1:24" s="7" customFormat="1" x14ac:dyDescent="0.3">
      <c r="A629" t="s">
        <v>112</v>
      </c>
      <c r="B629" t="s">
        <v>935</v>
      </c>
      <c r="C629"/>
      <c r="D629"/>
      <c r="E629"/>
      <c r="F629"/>
      <c r="G629"/>
      <c r="H629"/>
      <c r="I629"/>
      <c r="J629"/>
      <c r="K629"/>
      <c r="L629"/>
      <c r="M629"/>
      <c r="N629"/>
      <c r="O629"/>
      <c r="P629"/>
      <c r="Q629"/>
      <c r="R629"/>
      <c r="S629"/>
      <c r="T629"/>
      <c r="U629"/>
      <c r="V629"/>
      <c r="W629" s="129" t="s">
        <v>960</v>
      </c>
      <c r="X629" s="129">
        <v>16930</v>
      </c>
    </row>
    <row r="630" spans="1:24" s="7" customFormat="1" x14ac:dyDescent="0.3">
      <c r="A630" t="s">
        <v>112</v>
      </c>
      <c r="B630" t="s">
        <v>935</v>
      </c>
      <c r="C630"/>
      <c r="D630"/>
      <c r="E630"/>
      <c r="F630"/>
      <c r="G630"/>
      <c r="H630"/>
      <c r="I630"/>
      <c r="J630"/>
      <c r="K630"/>
      <c r="L630"/>
      <c r="M630"/>
      <c r="N630"/>
      <c r="O630"/>
      <c r="P630"/>
      <c r="Q630"/>
      <c r="R630"/>
      <c r="S630"/>
      <c r="T630"/>
      <c r="U630"/>
      <c r="V630"/>
      <c r="W630" s="129" t="s">
        <v>961</v>
      </c>
      <c r="X630" s="129">
        <v>17700</v>
      </c>
    </row>
    <row r="631" spans="1:24" s="7" customFormat="1" x14ac:dyDescent="0.3">
      <c r="A631" t="s">
        <v>112</v>
      </c>
      <c r="B631" t="s">
        <v>935</v>
      </c>
      <c r="C631"/>
      <c r="D631"/>
      <c r="E631"/>
      <c r="F631"/>
      <c r="G631"/>
      <c r="H631"/>
      <c r="I631"/>
      <c r="J631"/>
      <c r="K631"/>
      <c r="L631"/>
      <c r="M631"/>
      <c r="N631"/>
      <c r="O631"/>
      <c r="P631"/>
      <c r="Q631"/>
      <c r="R631"/>
      <c r="S631"/>
      <c r="T631"/>
      <c r="U631"/>
      <c r="V631"/>
      <c r="W631" s="129" t="s">
        <v>962</v>
      </c>
      <c r="X631" s="129">
        <v>25259</v>
      </c>
    </row>
    <row r="632" spans="1:24" s="7" customFormat="1" x14ac:dyDescent="0.3">
      <c r="A632" t="s">
        <v>112</v>
      </c>
      <c r="B632" t="s">
        <v>935</v>
      </c>
      <c r="C632"/>
      <c r="D632"/>
      <c r="E632"/>
      <c r="F632"/>
      <c r="G632"/>
      <c r="H632"/>
      <c r="I632"/>
      <c r="J632"/>
      <c r="K632"/>
      <c r="L632"/>
      <c r="M632"/>
      <c r="N632"/>
      <c r="O632"/>
      <c r="P632"/>
      <c r="Q632"/>
      <c r="R632"/>
      <c r="S632"/>
      <c r="T632"/>
      <c r="U632"/>
      <c r="V632"/>
      <c r="W632" s="129" t="s">
        <v>963</v>
      </c>
      <c r="X632" s="129">
        <v>25946</v>
      </c>
    </row>
    <row r="633" spans="1:24" s="7" customFormat="1" x14ac:dyDescent="0.3">
      <c r="A633" t="s">
        <v>112</v>
      </c>
      <c r="B633" t="s">
        <v>935</v>
      </c>
      <c r="C633"/>
      <c r="D633"/>
      <c r="E633"/>
      <c r="F633"/>
      <c r="G633"/>
      <c r="H633"/>
      <c r="I633"/>
      <c r="J633"/>
      <c r="K633"/>
      <c r="L633"/>
      <c r="M633"/>
      <c r="N633"/>
      <c r="O633"/>
      <c r="P633"/>
      <c r="Q633"/>
      <c r="R633"/>
      <c r="S633"/>
      <c r="T633"/>
      <c r="U633"/>
      <c r="V633"/>
      <c r="W633" s="129" t="s">
        <v>964</v>
      </c>
      <c r="X633" s="129">
        <v>11893</v>
      </c>
    </row>
    <row r="634" spans="1:24" s="7" customFormat="1" x14ac:dyDescent="0.3">
      <c r="A634" t="s">
        <v>112</v>
      </c>
      <c r="B634" t="s">
        <v>935</v>
      </c>
      <c r="C634"/>
      <c r="D634"/>
      <c r="E634"/>
      <c r="F634"/>
      <c r="G634"/>
      <c r="H634"/>
      <c r="I634"/>
      <c r="J634"/>
      <c r="K634"/>
      <c r="L634"/>
      <c r="M634"/>
      <c r="N634"/>
      <c r="O634"/>
      <c r="P634"/>
      <c r="Q634"/>
      <c r="R634"/>
      <c r="S634"/>
      <c r="T634"/>
      <c r="U634"/>
      <c r="V634"/>
      <c r="W634" s="129" t="s">
        <v>965</v>
      </c>
      <c r="X634" s="129">
        <v>12179</v>
      </c>
    </row>
    <row r="635" spans="1:24" s="7" customFormat="1" x14ac:dyDescent="0.3">
      <c r="A635" t="s">
        <v>112</v>
      </c>
      <c r="B635" t="s">
        <v>935</v>
      </c>
      <c r="C635"/>
      <c r="D635"/>
      <c r="E635"/>
      <c r="F635"/>
      <c r="G635"/>
      <c r="H635"/>
      <c r="I635"/>
      <c r="J635"/>
      <c r="K635"/>
      <c r="L635"/>
      <c r="M635"/>
      <c r="N635"/>
      <c r="O635"/>
      <c r="P635"/>
      <c r="Q635"/>
      <c r="R635"/>
      <c r="S635"/>
      <c r="T635"/>
      <c r="U635"/>
      <c r="V635"/>
      <c r="W635" s="130" t="s">
        <v>966</v>
      </c>
      <c r="X635" s="68">
        <f>X629+X631+X633</f>
        <v>54082</v>
      </c>
    </row>
    <row r="636" spans="1:24" s="7" customFormat="1" x14ac:dyDescent="0.3">
      <c r="A636" t="s">
        <v>112</v>
      </c>
      <c r="B636" t="s">
        <v>935</v>
      </c>
      <c r="C636"/>
      <c r="D636"/>
      <c r="E636"/>
      <c r="F636"/>
      <c r="G636"/>
      <c r="H636"/>
      <c r="I636"/>
      <c r="J636"/>
      <c r="K636"/>
      <c r="L636"/>
      <c r="M636"/>
      <c r="N636"/>
      <c r="O636"/>
      <c r="P636"/>
      <c r="Q636"/>
      <c r="R636"/>
      <c r="S636"/>
      <c r="T636"/>
      <c r="U636"/>
      <c r="V636"/>
      <c r="W636" s="130" t="s">
        <v>967</v>
      </c>
      <c r="X636" s="68">
        <f>X630+X632+X634</f>
        <v>55825</v>
      </c>
    </row>
    <row r="637" spans="1:24" s="7" customFormat="1" x14ac:dyDescent="0.3">
      <c r="A637" t="s">
        <v>112</v>
      </c>
      <c r="B637" t="s">
        <v>935</v>
      </c>
      <c r="C637"/>
      <c r="D637"/>
      <c r="E637"/>
      <c r="F637"/>
      <c r="G637"/>
      <c r="H637"/>
      <c r="I637"/>
      <c r="J637"/>
      <c r="K637"/>
      <c r="L637"/>
      <c r="M637"/>
      <c r="N637"/>
      <c r="O637"/>
      <c r="P637"/>
      <c r="Q637"/>
      <c r="R637"/>
      <c r="S637"/>
      <c r="T637"/>
      <c r="U637"/>
      <c r="V637"/>
      <c r="W637" s="68" t="s">
        <v>968</v>
      </c>
      <c r="X637" s="131">
        <f>((X621+X623+X625)/(X629+X631+X633))</f>
        <v>2.2008986354054954</v>
      </c>
    </row>
    <row r="638" spans="1:24" s="7" customFormat="1" x14ac:dyDescent="0.3">
      <c r="A638" t="s">
        <v>112</v>
      </c>
      <c r="B638" t="s">
        <v>935</v>
      </c>
      <c r="C638"/>
      <c r="D638"/>
      <c r="E638"/>
      <c r="F638"/>
      <c r="G638"/>
      <c r="H638"/>
      <c r="I638"/>
      <c r="J638"/>
      <c r="K638"/>
      <c r="L638"/>
      <c r="M638"/>
      <c r="N638"/>
      <c r="O638"/>
      <c r="P638"/>
      <c r="Q638"/>
      <c r="R638"/>
      <c r="S638"/>
      <c r="T638"/>
      <c r="U638"/>
      <c r="V638"/>
      <c r="W638" s="68" t="s">
        <v>969</v>
      </c>
      <c r="X638" s="131">
        <f>((X622+X624+X626)/(X630+X632+X634))</f>
        <v>2.2035647111509182</v>
      </c>
    </row>
    <row r="639" spans="1:24" s="7" customFormat="1" x14ac:dyDescent="0.3">
      <c r="A639" t="s">
        <v>112</v>
      </c>
      <c r="B639" s="135" t="s">
        <v>971</v>
      </c>
      <c r="C639"/>
      <c r="D639"/>
      <c r="E639"/>
      <c r="F639"/>
      <c r="G639"/>
      <c r="H639"/>
      <c r="I639"/>
      <c r="J639"/>
      <c r="K639"/>
      <c r="L639"/>
      <c r="M639"/>
      <c r="N639"/>
      <c r="O639"/>
      <c r="P639"/>
      <c r="Q639"/>
      <c r="R639"/>
      <c r="S639"/>
      <c r="T639"/>
      <c r="U639"/>
      <c r="V639"/>
      <c r="W639" s="129" t="s">
        <v>972</v>
      </c>
      <c r="X639" s="129">
        <v>28.725999999999999</v>
      </c>
    </row>
    <row r="640" spans="1:24" s="7" customFormat="1" x14ac:dyDescent="0.3">
      <c r="A640" t="s">
        <v>112</v>
      </c>
      <c r="B640" s="135" t="s">
        <v>971</v>
      </c>
      <c r="C640"/>
      <c r="D640"/>
      <c r="E640"/>
      <c r="F640"/>
      <c r="G640"/>
      <c r="H640"/>
      <c r="I640"/>
      <c r="J640"/>
      <c r="K640"/>
      <c r="L640"/>
      <c r="M640"/>
      <c r="N640"/>
      <c r="O640"/>
      <c r="P640"/>
      <c r="Q640"/>
      <c r="R640"/>
      <c r="S640"/>
      <c r="T640"/>
      <c r="U640"/>
      <c r="V640"/>
      <c r="W640" s="129" t="s">
        <v>973</v>
      </c>
      <c r="X640" s="129">
        <v>28.376000000000001</v>
      </c>
    </row>
    <row r="641" spans="1:24" s="7" customFormat="1" x14ac:dyDescent="0.3">
      <c r="A641" t="s">
        <v>112</v>
      </c>
      <c r="B641" s="135" t="s">
        <v>971</v>
      </c>
      <c r="C641"/>
      <c r="D641"/>
      <c r="E641"/>
      <c r="F641"/>
      <c r="G641"/>
      <c r="H641"/>
      <c r="I641"/>
      <c r="J641"/>
      <c r="K641"/>
      <c r="L641"/>
      <c r="M641"/>
      <c r="N641"/>
      <c r="O641"/>
      <c r="P641"/>
      <c r="Q641"/>
      <c r="R641"/>
      <c r="S641"/>
      <c r="T641"/>
      <c r="U641"/>
      <c r="V641"/>
      <c r="W641" s="129" t="s">
        <v>974</v>
      </c>
      <c r="X641" s="129">
        <v>329.35</v>
      </c>
    </row>
    <row r="642" spans="1:24" s="7" customFormat="1" x14ac:dyDescent="0.3">
      <c r="A642" t="s">
        <v>112</v>
      </c>
      <c r="B642" s="135" t="s">
        <v>971</v>
      </c>
      <c r="C642"/>
      <c r="D642"/>
      <c r="E642"/>
      <c r="F642"/>
      <c r="G642"/>
      <c r="H642"/>
      <c r="I642"/>
      <c r="J642"/>
      <c r="K642"/>
      <c r="L642"/>
      <c r="M642"/>
      <c r="N642"/>
      <c r="O642"/>
      <c r="P642"/>
      <c r="Q642"/>
      <c r="R642"/>
      <c r="S642"/>
      <c r="T642"/>
      <c r="U642"/>
      <c r="V642"/>
      <c r="W642" s="129" t="s">
        <v>975</v>
      </c>
      <c r="X642" s="129">
        <v>33.814</v>
      </c>
    </row>
    <row r="643" spans="1:24" s="7" customFormat="1" x14ac:dyDescent="0.3">
      <c r="A643" t="s">
        <v>112</v>
      </c>
      <c r="B643" s="135" t="s">
        <v>971</v>
      </c>
      <c r="C643"/>
      <c r="D643"/>
      <c r="E643"/>
      <c r="F643"/>
      <c r="G643"/>
      <c r="H643"/>
      <c r="I643"/>
      <c r="J643"/>
      <c r="K643"/>
      <c r="L643"/>
      <c r="M643"/>
      <c r="N643"/>
      <c r="O643"/>
      <c r="P643"/>
      <c r="Q643"/>
      <c r="R643"/>
      <c r="S643"/>
      <c r="T643"/>
      <c r="U643"/>
      <c r="V643"/>
      <c r="W643" s="129" t="s">
        <v>976</v>
      </c>
      <c r="X643" s="129">
        <v>508.464</v>
      </c>
    </row>
    <row r="644" spans="1:24" s="7" customFormat="1" x14ac:dyDescent="0.3">
      <c r="A644" t="s">
        <v>112</v>
      </c>
      <c r="B644" s="135" t="s">
        <v>971</v>
      </c>
      <c r="C644"/>
      <c r="D644"/>
      <c r="E644"/>
      <c r="F644"/>
      <c r="G644"/>
      <c r="H644"/>
      <c r="I644"/>
      <c r="J644"/>
      <c r="K644"/>
      <c r="L644"/>
      <c r="M644"/>
      <c r="N644"/>
      <c r="O644"/>
      <c r="P644"/>
      <c r="Q644"/>
      <c r="R644"/>
      <c r="S644"/>
      <c r="T644"/>
      <c r="U644"/>
      <c r="V644"/>
      <c r="W644" s="129" t="s">
        <v>977</v>
      </c>
      <c r="X644" s="129">
        <v>517.12800000000004</v>
      </c>
    </row>
    <row r="645" spans="1:24" s="7" customFormat="1" x14ac:dyDescent="0.3">
      <c r="A645" t="s">
        <v>112</v>
      </c>
      <c r="B645" s="135" t="s">
        <v>971</v>
      </c>
      <c r="C645"/>
      <c r="D645"/>
      <c r="E645"/>
      <c r="F645"/>
      <c r="G645"/>
      <c r="H645"/>
      <c r="I645"/>
      <c r="J645"/>
      <c r="K645"/>
      <c r="L645"/>
      <c r="M645"/>
      <c r="N645"/>
      <c r="O645"/>
      <c r="P645"/>
      <c r="Q645"/>
      <c r="R645"/>
      <c r="S645"/>
      <c r="T645"/>
      <c r="U645"/>
      <c r="V645"/>
      <c r="W645" s="132" t="s">
        <v>978</v>
      </c>
      <c r="X645" s="132">
        <v>1007.18</v>
      </c>
    </row>
    <row r="646" spans="1:24" s="7" customFormat="1" x14ac:dyDescent="0.3">
      <c r="A646" t="s">
        <v>112</v>
      </c>
      <c r="B646" s="135" t="s">
        <v>971</v>
      </c>
      <c r="C646"/>
      <c r="D646"/>
      <c r="E646"/>
      <c r="F646"/>
      <c r="G646"/>
      <c r="H646"/>
      <c r="I646"/>
      <c r="J646"/>
      <c r="K646"/>
      <c r="L646"/>
      <c r="M646"/>
      <c r="N646"/>
      <c r="O646"/>
      <c r="P646"/>
      <c r="Q646"/>
      <c r="R646"/>
      <c r="S646"/>
      <c r="T646"/>
      <c r="U646"/>
      <c r="V646"/>
      <c r="W646" s="132" t="s">
        <v>979</v>
      </c>
      <c r="X646" s="132">
        <v>1011.773</v>
      </c>
    </row>
    <row r="647" spans="1:24" s="7" customFormat="1" x14ac:dyDescent="0.3">
      <c r="A647" t="s">
        <v>112</v>
      </c>
      <c r="B647" s="135" t="s">
        <v>971</v>
      </c>
      <c r="C647"/>
      <c r="D647"/>
      <c r="E647"/>
      <c r="F647"/>
      <c r="G647"/>
      <c r="H647"/>
      <c r="I647"/>
      <c r="J647"/>
      <c r="K647"/>
      <c r="L647"/>
      <c r="M647"/>
      <c r="N647"/>
      <c r="O647"/>
      <c r="P647"/>
      <c r="Q647"/>
      <c r="R647"/>
      <c r="S647"/>
      <c r="T647"/>
      <c r="U647"/>
      <c r="V647"/>
      <c r="W647" s="129" t="s">
        <v>980</v>
      </c>
      <c r="X647" s="129">
        <v>47.246000000000002</v>
      </c>
    </row>
    <row r="648" spans="1:24" s="7" customFormat="1" x14ac:dyDescent="0.3">
      <c r="A648" t="s">
        <v>112</v>
      </c>
      <c r="B648" s="135" t="s">
        <v>971</v>
      </c>
      <c r="C648"/>
      <c r="D648"/>
      <c r="E648"/>
      <c r="F648"/>
      <c r="G648"/>
      <c r="H648"/>
      <c r="I648"/>
      <c r="J648"/>
      <c r="K648"/>
      <c r="L648"/>
      <c r="M648"/>
      <c r="N648"/>
      <c r="O648"/>
      <c r="P648"/>
      <c r="Q648"/>
      <c r="R648"/>
      <c r="S648"/>
      <c r="T648"/>
      <c r="U648"/>
      <c r="V648"/>
      <c r="W648" s="129" t="s">
        <v>981</v>
      </c>
      <c r="X648" s="129">
        <v>34.790999999999997</v>
      </c>
    </row>
    <row r="649" spans="1:24" s="7" customFormat="1" x14ac:dyDescent="0.3">
      <c r="A649" t="s">
        <v>112</v>
      </c>
      <c r="B649" s="135" t="s">
        <v>971</v>
      </c>
      <c r="C649"/>
      <c r="D649"/>
      <c r="E649"/>
      <c r="F649"/>
      <c r="G649"/>
      <c r="H649"/>
      <c r="I649"/>
      <c r="J649"/>
      <c r="K649"/>
      <c r="L649"/>
      <c r="M649"/>
      <c r="N649"/>
      <c r="O649"/>
      <c r="P649"/>
      <c r="Q649"/>
      <c r="R649"/>
      <c r="S649"/>
      <c r="T649"/>
      <c r="U649"/>
      <c r="V649"/>
      <c r="W649" s="129" t="s">
        <v>982</v>
      </c>
      <c r="X649" s="129">
        <v>24.917999999999999</v>
      </c>
    </row>
    <row r="650" spans="1:24" s="7" customFormat="1" x14ac:dyDescent="0.3">
      <c r="A650" t="s">
        <v>112</v>
      </c>
      <c r="B650" s="135" t="s">
        <v>971</v>
      </c>
      <c r="C650"/>
      <c r="D650"/>
      <c r="E650"/>
      <c r="F650"/>
      <c r="G650"/>
      <c r="H650"/>
      <c r="I650"/>
      <c r="J650"/>
      <c r="K650"/>
      <c r="L650"/>
      <c r="M650"/>
      <c r="N650"/>
      <c r="O650"/>
      <c r="P650"/>
      <c r="Q650"/>
      <c r="R650"/>
      <c r="S650"/>
      <c r="T650"/>
      <c r="U650"/>
      <c r="V650"/>
      <c r="W650" s="129" t="s">
        <v>983</v>
      </c>
      <c r="X650" s="129">
        <v>26.143000000000001</v>
      </c>
    </row>
    <row r="651" spans="1:24" s="7" customFormat="1" x14ac:dyDescent="0.3">
      <c r="A651" t="s">
        <v>112</v>
      </c>
      <c r="B651" s="135" t="s">
        <v>971</v>
      </c>
      <c r="C651"/>
      <c r="D651"/>
      <c r="E651"/>
      <c r="F651"/>
      <c r="G651"/>
      <c r="H651"/>
      <c r="I651"/>
      <c r="J651"/>
      <c r="K651"/>
      <c r="L651"/>
      <c r="M651"/>
      <c r="N651"/>
      <c r="O651"/>
      <c r="P651"/>
      <c r="Q651"/>
      <c r="R651"/>
      <c r="S651"/>
      <c r="T651"/>
      <c r="U651"/>
      <c r="V651"/>
      <c r="W651" s="130" t="s">
        <v>984</v>
      </c>
      <c r="X651" s="68">
        <f>X639+X641+X643+X645+X647+X649</f>
        <v>1945.8839999999998</v>
      </c>
    </row>
    <row r="652" spans="1:24" s="7" customFormat="1" x14ac:dyDescent="0.3">
      <c r="A652" t="s">
        <v>112</v>
      </c>
      <c r="B652" s="135" t="s">
        <v>971</v>
      </c>
      <c r="C652"/>
      <c r="D652"/>
      <c r="E652"/>
      <c r="F652"/>
      <c r="G652"/>
      <c r="H652"/>
      <c r="I652"/>
      <c r="J652"/>
      <c r="K652"/>
      <c r="L652"/>
      <c r="M652"/>
      <c r="N652"/>
      <c r="O652"/>
      <c r="P652"/>
      <c r="Q652"/>
      <c r="R652"/>
      <c r="S652"/>
      <c r="T652"/>
      <c r="U652"/>
      <c r="V652"/>
      <c r="W652" s="130" t="s">
        <v>985</v>
      </c>
      <c r="X652" s="68">
        <f>X640+X642+X644+X646+X648+X650</f>
        <v>1652.0249999999999</v>
      </c>
    </row>
    <row r="653" spans="1:24" s="7" customFormat="1" x14ac:dyDescent="0.3">
      <c r="A653" t="s">
        <v>112</v>
      </c>
      <c r="B653" s="135" t="s">
        <v>971</v>
      </c>
      <c r="C653"/>
      <c r="D653"/>
      <c r="E653"/>
      <c r="F653"/>
      <c r="G653"/>
      <c r="H653"/>
      <c r="I653"/>
      <c r="J653"/>
      <c r="K653"/>
      <c r="L653"/>
      <c r="M653"/>
      <c r="N653"/>
      <c r="O653"/>
      <c r="P653"/>
      <c r="Q653"/>
      <c r="R653"/>
      <c r="S653"/>
      <c r="T653"/>
      <c r="U653"/>
      <c r="V653"/>
      <c r="W653" s="7" t="s">
        <v>986</v>
      </c>
      <c r="X653" s="7">
        <v>972.65499999999997</v>
      </c>
    </row>
    <row r="654" spans="1:24" s="7" customFormat="1" x14ac:dyDescent="0.3">
      <c r="A654" t="s">
        <v>112</v>
      </c>
      <c r="B654" s="135" t="s">
        <v>971</v>
      </c>
      <c r="C654"/>
      <c r="D654"/>
      <c r="E654"/>
      <c r="F654"/>
      <c r="G654"/>
      <c r="H654"/>
      <c r="I654"/>
      <c r="J654"/>
      <c r="K654"/>
      <c r="L654"/>
      <c r="M654"/>
      <c r="N654"/>
      <c r="O654"/>
      <c r="P654"/>
      <c r="Q654"/>
      <c r="R654"/>
      <c r="S654"/>
      <c r="T654"/>
      <c r="U654"/>
      <c r="V654"/>
      <c r="W654" s="7" t="s">
        <v>987</v>
      </c>
      <c r="X654" s="129">
        <v>979.58399999999995</v>
      </c>
    </row>
    <row r="655" spans="1:24" s="7" customFormat="1" x14ac:dyDescent="0.3">
      <c r="A655" t="s">
        <v>112</v>
      </c>
      <c r="B655" s="135" t="s">
        <v>971</v>
      </c>
      <c r="C655"/>
      <c r="D655"/>
      <c r="E655"/>
      <c r="F655"/>
      <c r="G655"/>
      <c r="H655"/>
      <c r="I655"/>
      <c r="J655"/>
      <c r="K655"/>
      <c r="L655"/>
      <c r="M655"/>
      <c r="N655"/>
      <c r="O655"/>
      <c r="P655"/>
      <c r="Q655"/>
      <c r="R655"/>
      <c r="S655"/>
      <c r="T655"/>
      <c r="U655"/>
      <c r="V655"/>
      <c r="W655" s="7" t="s">
        <v>988</v>
      </c>
      <c r="X655" s="129">
        <f>X651/X653</f>
        <v>2.0005901373045938</v>
      </c>
    </row>
    <row r="656" spans="1:24" s="7" customFormat="1" x14ac:dyDescent="0.3">
      <c r="A656" t="s">
        <v>112</v>
      </c>
      <c r="B656" s="135" t="s">
        <v>971</v>
      </c>
      <c r="C656"/>
      <c r="D656"/>
      <c r="E656"/>
      <c r="F656"/>
      <c r="G656"/>
      <c r="H656"/>
      <c r="I656"/>
      <c r="J656"/>
      <c r="K656"/>
      <c r="L656"/>
      <c r="M656"/>
      <c r="N656"/>
      <c r="O656"/>
      <c r="P656"/>
      <c r="Q656"/>
      <c r="R656"/>
      <c r="S656"/>
      <c r="T656"/>
      <c r="U656"/>
      <c r="V656"/>
      <c r="W656" s="7" t="s">
        <v>989</v>
      </c>
      <c r="X656" s="129">
        <f>X652/X654</f>
        <v>1.686455679145433</v>
      </c>
    </row>
    <row r="657" spans="1:24" s="7" customFormat="1" x14ac:dyDescent="0.3">
      <c r="A657" t="s">
        <v>112</v>
      </c>
      <c r="B657" s="135" t="s">
        <v>990</v>
      </c>
      <c r="C657"/>
      <c r="D657"/>
      <c r="E657"/>
      <c r="F657"/>
      <c r="G657"/>
      <c r="H657"/>
      <c r="I657"/>
      <c r="J657"/>
      <c r="K657"/>
      <c r="L657"/>
      <c r="M657"/>
      <c r="N657"/>
      <c r="O657"/>
      <c r="P657"/>
      <c r="Q657"/>
      <c r="R657"/>
      <c r="S657"/>
      <c r="T657"/>
      <c r="U657"/>
      <c r="V657"/>
      <c r="W657" s="7" t="s">
        <v>991</v>
      </c>
      <c r="X657" s="129">
        <v>0.129</v>
      </c>
    </row>
    <row r="658" spans="1:24" s="7" customFormat="1" x14ac:dyDescent="0.3">
      <c r="A658" t="s">
        <v>112</v>
      </c>
      <c r="B658" s="135" t="s">
        <v>990</v>
      </c>
      <c r="C658"/>
      <c r="D658"/>
      <c r="E658"/>
      <c r="F658"/>
      <c r="G658"/>
      <c r="H658"/>
      <c r="I658"/>
      <c r="J658"/>
      <c r="K658"/>
      <c r="L658"/>
      <c r="M658"/>
      <c r="N658"/>
      <c r="O658"/>
      <c r="P658"/>
      <c r="Q658"/>
      <c r="R658"/>
      <c r="S658"/>
      <c r="T658"/>
      <c r="U658"/>
      <c r="V658"/>
      <c r="W658" s="7" t="s">
        <v>992</v>
      </c>
      <c r="X658" s="129">
        <v>0.22800000000000001</v>
      </c>
    </row>
    <row r="659" spans="1:24" s="7" customFormat="1" x14ac:dyDescent="0.3">
      <c r="A659" t="s">
        <v>112</v>
      </c>
      <c r="B659" s="135" t="s">
        <v>990</v>
      </c>
      <c r="C659"/>
      <c r="D659"/>
      <c r="E659"/>
      <c r="F659"/>
      <c r="G659"/>
      <c r="H659"/>
      <c r="I659"/>
      <c r="J659"/>
      <c r="K659"/>
      <c r="L659"/>
      <c r="M659"/>
      <c r="N659"/>
      <c r="O659"/>
      <c r="P659"/>
      <c r="Q659"/>
      <c r="R659"/>
      <c r="S659"/>
      <c r="T659"/>
      <c r="U659"/>
      <c r="V659"/>
      <c r="W659" s="129" t="s">
        <v>993</v>
      </c>
      <c r="X659" s="129">
        <v>267</v>
      </c>
    </row>
    <row r="660" spans="1:24" s="7" customFormat="1" x14ac:dyDescent="0.3">
      <c r="A660" t="s">
        <v>112</v>
      </c>
      <c r="B660" s="135" t="s">
        <v>990</v>
      </c>
      <c r="C660"/>
      <c r="D660"/>
      <c r="E660"/>
      <c r="F660"/>
      <c r="G660"/>
      <c r="H660"/>
      <c r="I660"/>
      <c r="J660"/>
      <c r="K660"/>
      <c r="L660"/>
      <c r="M660"/>
      <c r="N660"/>
      <c r="O660"/>
      <c r="P660"/>
      <c r="Q660"/>
      <c r="R660"/>
      <c r="S660"/>
      <c r="T660"/>
      <c r="U660"/>
      <c r="V660"/>
      <c r="W660" s="129" t="s">
        <v>994</v>
      </c>
      <c r="X660" s="129">
        <v>732</v>
      </c>
    </row>
    <row r="661" spans="1:24" s="7" customFormat="1" x14ac:dyDescent="0.3">
      <c r="A661" t="s">
        <v>112</v>
      </c>
      <c r="B661" s="135" t="s">
        <v>990</v>
      </c>
      <c r="C661"/>
      <c r="D661"/>
      <c r="E661"/>
      <c r="F661"/>
      <c r="G661"/>
      <c r="H661"/>
      <c r="I661"/>
      <c r="J661"/>
      <c r="K661"/>
      <c r="L661"/>
      <c r="M661"/>
      <c r="N661"/>
      <c r="O661"/>
      <c r="P661"/>
      <c r="Q661"/>
      <c r="R661"/>
      <c r="S661"/>
      <c r="T661"/>
      <c r="U661"/>
      <c r="V661"/>
      <c r="W661" s="129" t="s">
        <v>995</v>
      </c>
      <c r="X661" s="129">
        <v>1809</v>
      </c>
    </row>
    <row r="662" spans="1:24" s="7" customFormat="1" x14ac:dyDescent="0.3">
      <c r="A662" t="s">
        <v>112</v>
      </c>
      <c r="B662" s="135" t="s">
        <v>990</v>
      </c>
      <c r="C662"/>
      <c r="D662"/>
      <c r="E662"/>
      <c r="F662"/>
      <c r="G662"/>
      <c r="H662"/>
      <c r="I662"/>
      <c r="J662"/>
      <c r="K662"/>
      <c r="L662"/>
      <c r="M662"/>
      <c r="N662"/>
      <c r="O662"/>
      <c r="P662"/>
      <c r="Q662"/>
      <c r="R662"/>
      <c r="S662"/>
      <c r="T662"/>
      <c r="U662"/>
      <c r="V662"/>
      <c r="W662" s="129" t="s">
        <v>996</v>
      </c>
      <c r="X662" s="129">
        <v>4339</v>
      </c>
    </row>
    <row r="663" spans="1:24" s="7" customFormat="1" x14ac:dyDescent="0.3">
      <c r="A663" t="s">
        <v>112</v>
      </c>
      <c r="B663" s="135" t="s">
        <v>990</v>
      </c>
      <c r="C663"/>
      <c r="D663"/>
      <c r="E663"/>
      <c r="F663"/>
      <c r="G663"/>
      <c r="H663"/>
      <c r="I663"/>
      <c r="J663"/>
      <c r="K663"/>
      <c r="L663"/>
      <c r="M663"/>
      <c r="N663"/>
      <c r="O663"/>
      <c r="P663"/>
      <c r="Q663"/>
      <c r="R663"/>
      <c r="S663"/>
      <c r="T663"/>
      <c r="U663"/>
      <c r="V663"/>
      <c r="W663" s="129" t="s">
        <v>997</v>
      </c>
      <c r="X663" s="129">
        <v>26017</v>
      </c>
    </row>
    <row r="664" spans="1:24" s="7" customFormat="1" x14ac:dyDescent="0.3">
      <c r="A664" t="s">
        <v>112</v>
      </c>
      <c r="B664" s="135" t="s">
        <v>990</v>
      </c>
      <c r="C664"/>
      <c r="D664"/>
      <c r="E664"/>
      <c r="F664"/>
      <c r="G664"/>
      <c r="H664"/>
      <c r="I664"/>
      <c r="J664"/>
      <c r="K664"/>
      <c r="L664"/>
      <c r="M664"/>
      <c r="N664"/>
      <c r="O664"/>
      <c r="P664"/>
      <c r="Q664"/>
      <c r="R664"/>
      <c r="S664"/>
      <c r="T664"/>
      <c r="U664"/>
      <c r="V664"/>
      <c r="W664" s="129" t="s">
        <v>998</v>
      </c>
      <c r="X664" s="129">
        <v>26507</v>
      </c>
    </row>
    <row r="665" spans="1:24" s="7" customFormat="1" x14ac:dyDescent="0.3">
      <c r="A665" t="s">
        <v>112</v>
      </c>
      <c r="B665" s="135" t="s">
        <v>990</v>
      </c>
      <c r="C665"/>
      <c r="D665"/>
      <c r="E665"/>
      <c r="F665"/>
      <c r="G665"/>
      <c r="H665"/>
      <c r="I665"/>
      <c r="J665"/>
      <c r="K665"/>
      <c r="L665"/>
      <c r="M665"/>
      <c r="N665"/>
      <c r="O665"/>
      <c r="P665"/>
      <c r="Q665"/>
      <c r="R665"/>
      <c r="S665"/>
      <c r="T665"/>
      <c r="U665"/>
      <c r="V665"/>
      <c r="W665" s="130" t="s">
        <v>999</v>
      </c>
      <c r="X665" s="68">
        <f>X659+X661+X663</f>
        <v>28093</v>
      </c>
    </row>
    <row r="666" spans="1:24" s="7" customFormat="1" x14ac:dyDescent="0.3">
      <c r="A666" t="s">
        <v>112</v>
      </c>
      <c r="B666" s="135" t="s">
        <v>990</v>
      </c>
      <c r="C666"/>
      <c r="D666"/>
      <c r="E666"/>
      <c r="F666"/>
      <c r="G666"/>
      <c r="H666"/>
      <c r="I666"/>
      <c r="J666"/>
      <c r="K666"/>
      <c r="L666"/>
      <c r="M666"/>
      <c r="N666"/>
      <c r="O666"/>
      <c r="P666"/>
      <c r="Q666"/>
      <c r="R666"/>
      <c r="S666"/>
      <c r="T666"/>
      <c r="U666"/>
      <c r="V666"/>
      <c r="W666" s="130" t="s">
        <v>1000</v>
      </c>
      <c r="X666" s="68">
        <f>X660+X662+X664</f>
        <v>31578</v>
      </c>
    </row>
    <row r="667" spans="1:24" s="7" customFormat="1" x14ac:dyDescent="0.3">
      <c r="A667" t="s">
        <v>112</v>
      </c>
      <c r="B667" s="135" t="s">
        <v>990</v>
      </c>
      <c r="C667"/>
      <c r="D667"/>
      <c r="E667"/>
      <c r="F667"/>
      <c r="G667"/>
      <c r="H667"/>
      <c r="I667"/>
      <c r="J667"/>
      <c r="K667"/>
      <c r="L667"/>
      <c r="M667"/>
      <c r="N667"/>
      <c r="O667"/>
      <c r="P667"/>
      <c r="Q667"/>
      <c r="R667"/>
      <c r="S667"/>
      <c r="T667"/>
      <c r="U667"/>
      <c r="V667"/>
      <c r="W667" s="129" t="s">
        <v>1001</v>
      </c>
      <c r="X667" s="129">
        <v>4745167</v>
      </c>
    </row>
    <row r="668" spans="1:24" s="7" customFormat="1" x14ac:dyDescent="0.3">
      <c r="A668" t="s">
        <v>112</v>
      </c>
      <c r="B668" s="135" t="s">
        <v>990</v>
      </c>
      <c r="C668"/>
      <c r="D668"/>
      <c r="E668"/>
      <c r="F668"/>
      <c r="G668"/>
      <c r="H668"/>
      <c r="I668"/>
      <c r="J668"/>
      <c r="K668"/>
      <c r="L668"/>
      <c r="M668"/>
      <c r="N668"/>
      <c r="O668"/>
      <c r="P668"/>
      <c r="Q668"/>
      <c r="R668"/>
      <c r="S668"/>
      <c r="T668"/>
      <c r="U668"/>
      <c r="V668"/>
      <c r="W668" s="129" t="s">
        <v>1002</v>
      </c>
      <c r="X668" s="129">
        <v>4750691</v>
      </c>
    </row>
    <row r="669" spans="1:24" s="7" customFormat="1" x14ac:dyDescent="0.3">
      <c r="A669" t="s">
        <v>112</v>
      </c>
      <c r="B669" s="135" t="s">
        <v>990</v>
      </c>
      <c r="C669"/>
      <c r="D669"/>
      <c r="E669"/>
      <c r="F669"/>
      <c r="G669"/>
      <c r="H669"/>
      <c r="I669"/>
      <c r="J669"/>
      <c r="K669"/>
      <c r="L669"/>
      <c r="M669"/>
      <c r="N669"/>
      <c r="O669"/>
      <c r="P669"/>
      <c r="Q669"/>
      <c r="R669"/>
      <c r="S669"/>
      <c r="T669"/>
      <c r="U669"/>
      <c r="V669"/>
      <c r="W669" s="129" t="s">
        <v>1003</v>
      </c>
      <c r="X669" s="129">
        <v>21815</v>
      </c>
    </row>
    <row r="670" spans="1:24" s="7" customFormat="1" x14ac:dyDescent="0.3">
      <c r="A670" t="s">
        <v>112</v>
      </c>
      <c r="B670" s="135" t="s">
        <v>990</v>
      </c>
      <c r="C670"/>
      <c r="D670"/>
      <c r="E670"/>
      <c r="F670"/>
      <c r="G670"/>
      <c r="H670"/>
      <c r="I670"/>
      <c r="J670"/>
      <c r="K670"/>
      <c r="L670"/>
      <c r="M670"/>
      <c r="N670"/>
      <c r="O670"/>
      <c r="P670"/>
      <c r="Q670"/>
      <c r="R670"/>
      <c r="S670"/>
      <c r="T670"/>
      <c r="U670"/>
      <c r="V670"/>
      <c r="W670" s="129" t="s">
        <v>1004</v>
      </c>
      <c r="X670" s="129">
        <v>79299</v>
      </c>
    </row>
    <row r="671" spans="1:24" s="7" customFormat="1" x14ac:dyDescent="0.3">
      <c r="A671" t="s">
        <v>112</v>
      </c>
      <c r="B671" s="135" t="s">
        <v>990</v>
      </c>
      <c r="C671"/>
      <c r="D671"/>
      <c r="E671"/>
      <c r="F671"/>
      <c r="G671"/>
      <c r="H671"/>
      <c r="I671"/>
      <c r="J671"/>
      <c r="K671"/>
      <c r="L671"/>
      <c r="M671"/>
      <c r="N671"/>
      <c r="O671"/>
      <c r="P671"/>
      <c r="Q671"/>
      <c r="R671"/>
      <c r="S671"/>
      <c r="T671"/>
      <c r="U671"/>
      <c r="V671"/>
      <c r="W671" s="129" t="s">
        <v>1005</v>
      </c>
      <c r="X671" s="129">
        <v>2643226</v>
      </c>
    </row>
    <row r="672" spans="1:24" s="7" customFormat="1" x14ac:dyDescent="0.3">
      <c r="A672" t="s">
        <v>112</v>
      </c>
      <c r="B672" s="135" t="s">
        <v>990</v>
      </c>
      <c r="C672"/>
      <c r="D672"/>
      <c r="E672"/>
      <c r="F672"/>
      <c r="G672"/>
      <c r="H672"/>
      <c r="I672"/>
      <c r="J672"/>
      <c r="K672"/>
      <c r="L672"/>
      <c r="M672"/>
      <c r="N672"/>
      <c r="O672"/>
      <c r="P672"/>
      <c r="Q672"/>
      <c r="R672"/>
      <c r="S672"/>
      <c r="T672"/>
      <c r="U672"/>
      <c r="V672"/>
      <c r="W672" s="129" t="s">
        <v>1006</v>
      </c>
      <c r="X672" s="129">
        <v>2663888</v>
      </c>
    </row>
    <row r="673" spans="1:24" s="7" customFormat="1" x14ac:dyDescent="0.3">
      <c r="A673" t="s">
        <v>112</v>
      </c>
      <c r="B673" s="135" t="s">
        <v>990</v>
      </c>
      <c r="C673"/>
      <c r="D673"/>
      <c r="E673"/>
      <c r="F673"/>
      <c r="G673"/>
      <c r="H673"/>
      <c r="I673"/>
      <c r="J673"/>
      <c r="K673"/>
      <c r="L673"/>
      <c r="M673"/>
      <c r="N673"/>
      <c r="O673"/>
      <c r="P673"/>
      <c r="Q673"/>
      <c r="R673"/>
      <c r="S673"/>
      <c r="T673"/>
      <c r="U673"/>
      <c r="V673"/>
      <c r="W673" s="130" t="s">
        <v>1007</v>
      </c>
      <c r="X673" s="68">
        <f>X667+X669-X671</f>
        <v>2123756</v>
      </c>
    </row>
    <row r="674" spans="1:24" s="7" customFormat="1" x14ac:dyDescent="0.3">
      <c r="A674" t="s">
        <v>112</v>
      </c>
      <c r="B674" s="135" t="s">
        <v>990</v>
      </c>
      <c r="C674"/>
      <c r="D674"/>
      <c r="E674"/>
      <c r="F674"/>
      <c r="G674"/>
      <c r="H674"/>
      <c r="I674"/>
      <c r="J674"/>
      <c r="K674"/>
      <c r="L674"/>
      <c r="M674"/>
      <c r="N674"/>
      <c r="O674"/>
      <c r="P674"/>
      <c r="Q674"/>
      <c r="R674"/>
      <c r="S674"/>
      <c r="T674"/>
      <c r="U674"/>
      <c r="V674"/>
      <c r="W674" s="130" t="s">
        <v>1008</v>
      </c>
      <c r="X674" s="68">
        <f>X668+X670-X672</f>
        <v>2166102</v>
      </c>
    </row>
    <row r="675" spans="1:24" s="7" customFormat="1" x14ac:dyDescent="0.3">
      <c r="A675" t="s">
        <v>112</v>
      </c>
      <c r="B675" s="135" t="s">
        <v>990</v>
      </c>
      <c r="C675"/>
      <c r="D675"/>
      <c r="E675"/>
      <c r="F675"/>
      <c r="G675"/>
      <c r="H675"/>
      <c r="I675"/>
      <c r="J675"/>
      <c r="K675"/>
      <c r="L675"/>
      <c r="M675"/>
      <c r="N675"/>
      <c r="O675"/>
      <c r="P675"/>
      <c r="Q675"/>
      <c r="R675"/>
      <c r="S675"/>
      <c r="T675"/>
      <c r="U675"/>
      <c r="V675"/>
      <c r="W675" s="134" t="s">
        <v>1009</v>
      </c>
      <c r="X675" s="7">
        <f>X663+X659+X661+X657</f>
        <v>28093.129000000001</v>
      </c>
    </row>
    <row r="676" spans="1:24" s="7" customFormat="1" x14ac:dyDescent="0.3">
      <c r="A676" t="s">
        <v>112</v>
      </c>
      <c r="B676" s="135" t="s">
        <v>990</v>
      </c>
      <c r="C676"/>
      <c r="D676"/>
      <c r="E676"/>
      <c r="F676"/>
      <c r="G676"/>
      <c r="H676"/>
      <c r="I676"/>
      <c r="J676"/>
      <c r="K676"/>
      <c r="L676"/>
      <c r="M676"/>
      <c r="N676"/>
      <c r="O676"/>
      <c r="P676"/>
      <c r="Q676"/>
      <c r="R676"/>
      <c r="S676"/>
      <c r="T676"/>
      <c r="U676"/>
      <c r="V676"/>
      <c r="W676" s="134" t="s">
        <v>1010</v>
      </c>
      <c r="X676" s="7">
        <f>X664+X660+X662+X658</f>
        <v>31578.227999999999</v>
      </c>
    </row>
    <row r="677" spans="1:24" s="7" customFormat="1" x14ac:dyDescent="0.3">
      <c r="A677" t="s">
        <v>112</v>
      </c>
      <c r="B677" s="135" t="s">
        <v>990</v>
      </c>
      <c r="C677"/>
      <c r="D677"/>
      <c r="E677"/>
      <c r="F677"/>
      <c r="G677"/>
      <c r="H677"/>
      <c r="I677"/>
      <c r="J677"/>
      <c r="K677"/>
      <c r="L677"/>
      <c r="M677"/>
      <c r="N677"/>
      <c r="O677"/>
      <c r="P677"/>
      <c r="Q677"/>
      <c r="R677"/>
      <c r="S677"/>
      <c r="T677"/>
      <c r="U677"/>
      <c r="V677"/>
      <c r="W677" s="134" t="s">
        <v>1011</v>
      </c>
      <c r="X677" s="7">
        <f>X667+X669-X671</f>
        <v>2123756</v>
      </c>
    </row>
    <row r="678" spans="1:24" s="7" customFormat="1" x14ac:dyDescent="0.3">
      <c r="A678" t="s">
        <v>112</v>
      </c>
      <c r="B678" s="135" t="s">
        <v>990</v>
      </c>
      <c r="C678"/>
      <c r="D678"/>
      <c r="E678"/>
      <c r="F678"/>
      <c r="G678"/>
      <c r="H678"/>
      <c r="I678"/>
      <c r="J678"/>
      <c r="K678"/>
      <c r="L678"/>
      <c r="M678"/>
      <c r="N678"/>
      <c r="O678"/>
      <c r="P678"/>
      <c r="Q678"/>
      <c r="R678"/>
      <c r="S678"/>
      <c r="T678"/>
      <c r="U678"/>
      <c r="V678"/>
      <c r="W678" s="7" t="s">
        <v>1012</v>
      </c>
      <c r="X678" s="7">
        <f>X668+X670-X672</f>
        <v>2166102</v>
      </c>
    </row>
    <row r="679" spans="1:24" s="7" customFormat="1" x14ac:dyDescent="0.3">
      <c r="A679" t="s">
        <v>112</v>
      </c>
      <c r="B679" s="135" t="s">
        <v>990</v>
      </c>
      <c r="C679"/>
      <c r="D679"/>
      <c r="E679"/>
      <c r="F679"/>
      <c r="G679"/>
      <c r="H679"/>
      <c r="I679"/>
      <c r="J679"/>
      <c r="K679"/>
      <c r="L679"/>
      <c r="M679"/>
      <c r="N679"/>
      <c r="O679"/>
      <c r="P679"/>
      <c r="Q679"/>
      <c r="R679"/>
      <c r="S679"/>
      <c r="T679"/>
      <c r="U679"/>
      <c r="V679"/>
      <c r="W679" s="68" t="s">
        <v>1013</v>
      </c>
      <c r="X679" s="130">
        <f>X675/X677</f>
        <v>1.3228039850152277E-2</v>
      </c>
    </row>
    <row r="680" spans="1:24" s="7" customFormat="1" x14ac:dyDescent="0.3">
      <c r="A680" t="s">
        <v>112</v>
      </c>
      <c r="B680" s="135" t="s">
        <v>990</v>
      </c>
      <c r="C680"/>
      <c r="D680"/>
      <c r="E680"/>
      <c r="F680"/>
      <c r="G680"/>
      <c r="H680"/>
      <c r="I680"/>
      <c r="J680"/>
      <c r="K680"/>
      <c r="L680"/>
      <c r="M680"/>
      <c r="N680"/>
      <c r="O680"/>
      <c r="P680"/>
      <c r="Q680"/>
      <c r="R680"/>
      <c r="S680"/>
      <c r="T680"/>
      <c r="U680"/>
      <c r="V680"/>
      <c r="W680" s="68" t="s">
        <v>1014</v>
      </c>
      <c r="X680" s="130">
        <f>X676/X678</f>
        <v>1.4578366115723083E-2</v>
      </c>
    </row>
    <row r="681" spans="1:24" s="7" customFormat="1" x14ac:dyDescent="0.3">
      <c r="A681" t="s">
        <v>112</v>
      </c>
      <c r="B681" t="s">
        <v>113</v>
      </c>
      <c r="C681"/>
      <c r="D681"/>
      <c r="E681"/>
      <c r="F681"/>
      <c r="G681"/>
      <c r="H681" t="s">
        <v>114</v>
      </c>
      <c r="I681"/>
      <c r="J681"/>
      <c r="K681"/>
      <c r="L681"/>
      <c r="M681"/>
      <c r="N681"/>
      <c r="O681"/>
      <c r="P681"/>
      <c r="Q681"/>
      <c r="R681"/>
      <c r="S681"/>
      <c r="T681"/>
      <c r="U681" t="s">
        <v>60</v>
      </c>
      <c r="V681" t="s">
        <v>62</v>
      </c>
      <c r="W681" t="s">
        <v>115</v>
      </c>
      <c r="X681">
        <v>776.08</v>
      </c>
    </row>
    <row r="682" spans="1:24" s="7" customFormat="1" x14ac:dyDescent="0.3">
      <c r="A682" t="s">
        <v>112</v>
      </c>
      <c r="B682" t="s">
        <v>113</v>
      </c>
      <c r="C682"/>
      <c r="D682"/>
      <c r="E682"/>
      <c r="F682"/>
      <c r="G682"/>
      <c r="H682" t="s">
        <v>114</v>
      </c>
      <c r="I682"/>
      <c r="J682"/>
      <c r="K682"/>
      <c r="L682"/>
      <c r="M682"/>
      <c r="N682"/>
      <c r="O682"/>
      <c r="P682"/>
      <c r="Q682"/>
      <c r="R682"/>
      <c r="S682"/>
      <c r="T682"/>
      <c r="U682" t="s">
        <v>60</v>
      </c>
      <c r="V682" t="s">
        <v>62</v>
      </c>
      <c r="W682" t="s">
        <v>116</v>
      </c>
      <c r="X682">
        <v>74.3</v>
      </c>
    </row>
    <row r="683" spans="1:24" s="7" customFormat="1" x14ac:dyDescent="0.3">
      <c r="A683" t="s">
        <v>112</v>
      </c>
      <c r="B683" t="s">
        <v>113</v>
      </c>
      <c r="C683"/>
      <c r="D683"/>
      <c r="E683"/>
      <c r="F683"/>
      <c r="G683"/>
      <c r="H683" t="s">
        <v>114</v>
      </c>
      <c r="I683"/>
      <c r="J683"/>
      <c r="K683"/>
      <c r="L683"/>
      <c r="M683"/>
      <c r="N683"/>
      <c r="O683"/>
      <c r="P683"/>
      <c r="Q683"/>
      <c r="R683"/>
      <c r="S683"/>
      <c r="T683"/>
      <c r="U683" t="s">
        <v>60</v>
      </c>
      <c r="V683" t="s">
        <v>62</v>
      </c>
      <c r="W683" t="s">
        <v>117</v>
      </c>
      <c r="X683">
        <v>502.6</v>
      </c>
    </row>
    <row r="684" spans="1:24" s="7" customFormat="1" x14ac:dyDescent="0.3">
      <c r="A684" t="s">
        <v>112</v>
      </c>
      <c r="B684" t="s">
        <v>113</v>
      </c>
      <c r="C684"/>
      <c r="D684"/>
      <c r="E684"/>
      <c r="F684"/>
      <c r="G684"/>
      <c r="H684" t="s">
        <v>114</v>
      </c>
      <c r="I684"/>
      <c r="J684"/>
      <c r="K684"/>
      <c r="L684"/>
      <c r="M684"/>
      <c r="N684"/>
      <c r="O684"/>
      <c r="P684"/>
      <c r="Q684"/>
      <c r="R684"/>
      <c r="S684"/>
      <c r="T684"/>
      <c r="U684" t="s">
        <v>60</v>
      </c>
      <c r="V684" t="s">
        <v>62</v>
      </c>
      <c r="W684" t="s">
        <v>118</v>
      </c>
      <c r="X684">
        <v>0.03</v>
      </c>
    </row>
    <row r="685" spans="1:24" s="7" customFormat="1" x14ac:dyDescent="0.3">
      <c r="A685" t="s">
        <v>112</v>
      </c>
      <c r="B685" t="s">
        <v>113</v>
      </c>
      <c r="C685"/>
      <c r="D685"/>
      <c r="E685"/>
      <c r="F685"/>
      <c r="G685"/>
      <c r="H685" t="s">
        <v>114</v>
      </c>
      <c r="I685"/>
      <c r="J685"/>
      <c r="K685"/>
      <c r="L685"/>
      <c r="M685"/>
      <c r="N685"/>
      <c r="O685"/>
      <c r="P685"/>
      <c r="Q685"/>
      <c r="R685"/>
      <c r="S685"/>
      <c r="T685"/>
      <c r="U685" t="s">
        <v>60</v>
      </c>
      <c r="V685" t="s">
        <v>62</v>
      </c>
      <c r="W685" t="s">
        <v>119</v>
      </c>
      <c r="X685">
        <f>SUM(X681:X684)</f>
        <v>1353.01</v>
      </c>
    </row>
    <row r="686" spans="1:24" s="7" customFormat="1" x14ac:dyDescent="0.3">
      <c r="A686" t="s">
        <v>112</v>
      </c>
      <c r="B686" t="s">
        <v>113</v>
      </c>
      <c r="C686"/>
      <c r="D686"/>
      <c r="E686"/>
      <c r="F686"/>
      <c r="G686"/>
      <c r="H686" t="s">
        <v>114</v>
      </c>
      <c r="I686"/>
      <c r="J686"/>
      <c r="K686"/>
      <c r="L686"/>
      <c r="M686"/>
      <c r="N686"/>
      <c r="O686"/>
      <c r="P686"/>
      <c r="Q686"/>
      <c r="R686"/>
      <c r="S686"/>
      <c r="T686"/>
      <c r="U686" t="s">
        <v>60</v>
      </c>
      <c r="V686"/>
      <c r="W686" t="s">
        <v>120</v>
      </c>
      <c r="X686">
        <v>76908.45</v>
      </c>
    </row>
    <row r="687" spans="1:24" s="7" customFormat="1" x14ac:dyDescent="0.3">
      <c r="A687" t="s">
        <v>112</v>
      </c>
      <c r="B687" t="s">
        <v>113</v>
      </c>
      <c r="C687"/>
      <c r="D687"/>
      <c r="E687"/>
      <c r="F687"/>
      <c r="G687"/>
      <c r="H687" t="s">
        <v>114</v>
      </c>
      <c r="I687"/>
      <c r="J687"/>
      <c r="K687"/>
      <c r="L687"/>
      <c r="M687"/>
      <c r="N687"/>
      <c r="O687"/>
      <c r="P687"/>
      <c r="Q687"/>
      <c r="R687"/>
      <c r="S687"/>
      <c r="T687"/>
      <c r="U687" t="s">
        <v>60</v>
      </c>
      <c r="V687" t="s">
        <v>62</v>
      </c>
      <c r="W687" t="s">
        <v>121</v>
      </c>
      <c r="X687">
        <v>824.63</v>
      </c>
    </row>
    <row r="688" spans="1:24" s="7" customFormat="1" x14ac:dyDescent="0.3">
      <c r="A688" t="s">
        <v>112</v>
      </c>
      <c r="B688" t="s">
        <v>113</v>
      </c>
      <c r="C688"/>
      <c r="D688"/>
      <c r="E688"/>
      <c r="F688"/>
      <c r="G688"/>
      <c r="H688" t="s">
        <v>114</v>
      </c>
      <c r="I688"/>
      <c r="J688"/>
      <c r="K688"/>
      <c r="L688"/>
      <c r="M688"/>
      <c r="N688"/>
      <c r="O688"/>
      <c r="P688"/>
      <c r="Q688"/>
      <c r="R688"/>
      <c r="S688"/>
      <c r="T688"/>
      <c r="U688" t="s">
        <v>60</v>
      </c>
      <c r="V688" t="s">
        <v>62</v>
      </c>
      <c r="W688" t="s">
        <v>122</v>
      </c>
      <c r="X688">
        <v>203.34</v>
      </c>
    </row>
    <row r="689" spans="1:25" s="7" customFormat="1" x14ac:dyDescent="0.3">
      <c r="A689" t="s">
        <v>112</v>
      </c>
      <c r="B689" t="s">
        <v>113</v>
      </c>
      <c r="C689"/>
      <c r="D689"/>
      <c r="E689"/>
      <c r="F689"/>
      <c r="G689"/>
      <c r="H689" t="s">
        <v>114</v>
      </c>
      <c r="I689"/>
      <c r="J689"/>
      <c r="K689"/>
      <c r="L689"/>
      <c r="M689"/>
      <c r="N689"/>
      <c r="O689"/>
      <c r="P689"/>
      <c r="Q689"/>
      <c r="R689"/>
      <c r="S689"/>
      <c r="T689"/>
      <c r="U689" t="s">
        <v>60</v>
      </c>
      <c r="V689" t="s">
        <v>62</v>
      </c>
      <c r="W689" t="s">
        <v>123</v>
      </c>
      <c r="X689">
        <v>1205.3599999999999</v>
      </c>
    </row>
    <row r="690" spans="1:25" s="7" customFormat="1" x14ac:dyDescent="0.3">
      <c r="A690" t="s">
        <v>112</v>
      </c>
      <c r="B690" t="s">
        <v>113</v>
      </c>
      <c r="C690"/>
      <c r="D690"/>
      <c r="E690"/>
      <c r="F690"/>
      <c r="G690"/>
      <c r="H690" t="s">
        <v>114</v>
      </c>
      <c r="I690"/>
      <c r="J690"/>
      <c r="K690"/>
      <c r="L690"/>
      <c r="M690"/>
      <c r="N690"/>
      <c r="O690"/>
      <c r="P690"/>
      <c r="Q690"/>
      <c r="R690"/>
      <c r="S690"/>
      <c r="T690"/>
      <c r="U690" t="s">
        <v>60</v>
      </c>
      <c r="V690" t="s">
        <v>62</v>
      </c>
      <c r="W690" t="s">
        <v>124</v>
      </c>
      <c r="X690">
        <v>0.06</v>
      </c>
    </row>
    <row r="691" spans="1:25" s="7" customFormat="1" x14ac:dyDescent="0.3">
      <c r="A691" t="s">
        <v>112</v>
      </c>
      <c r="B691" t="s">
        <v>113</v>
      </c>
      <c r="C691"/>
      <c r="D691"/>
      <c r="E691"/>
      <c r="F691"/>
      <c r="G691"/>
      <c r="H691" t="s">
        <v>114</v>
      </c>
      <c r="I691"/>
      <c r="J691"/>
      <c r="K691"/>
      <c r="L691"/>
      <c r="M691"/>
      <c r="N691"/>
      <c r="O691"/>
      <c r="P691"/>
      <c r="Q691"/>
      <c r="R691"/>
      <c r="S691"/>
      <c r="T691"/>
      <c r="U691" t="s">
        <v>60</v>
      </c>
      <c r="V691" t="s">
        <v>62</v>
      </c>
      <c r="W691" t="s">
        <v>125</v>
      </c>
      <c r="X691">
        <f>SUM(X687:X690)</f>
        <v>2233.39</v>
      </c>
    </row>
    <row r="692" spans="1:25" s="7" customFormat="1" x14ac:dyDescent="0.3">
      <c r="A692" t="s">
        <v>112</v>
      </c>
      <c r="B692" t="s">
        <v>113</v>
      </c>
      <c r="C692"/>
      <c r="D692"/>
      <c r="E692"/>
      <c r="F692"/>
      <c r="G692"/>
      <c r="H692" t="s">
        <v>114</v>
      </c>
      <c r="I692"/>
      <c r="J692"/>
      <c r="K692"/>
      <c r="L692"/>
      <c r="M692"/>
      <c r="N692"/>
      <c r="O692"/>
      <c r="P692"/>
      <c r="Q692"/>
      <c r="R692"/>
      <c r="S692"/>
      <c r="T692"/>
      <c r="U692" t="s">
        <v>60</v>
      </c>
      <c r="V692" t="s">
        <v>62</v>
      </c>
      <c r="W692" t="s">
        <v>126</v>
      </c>
      <c r="X692">
        <v>80684.240000000005</v>
      </c>
    </row>
    <row r="693" spans="1:25" s="7" customFormat="1" x14ac:dyDescent="0.3">
      <c r="A693" t="s">
        <v>112</v>
      </c>
      <c r="B693" s="7" t="s">
        <v>1018</v>
      </c>
      <c r="H693" s="8"/>
      <c r="L693" s="1"/>
      <c r="O693"/>
      <c r="U693" s="9"/>
      <c r="V693" s="9"/>
      <c r="W693" s="7" t="s">
        <v>1019</v>
      </c>
      <c r="X693">
        <v>5133845.54</v>
      </c>
      <c r="Y693"/>
    </row>
    <row r="694" spans="1:25" x14ac:dyDescent="0.3">
      <c r="A694" t="s">
        <v>112</v>
      </c>
      <c r="B694" s="7" t="s">
        <v>1018</v>
      </c>
      <c r="W694" s="7" t="s">
        <v>1020</v>
      </c>
      <c r="X694" s="7">
        <v>12436284.369999999</v>
      </c>
      <c r="Y694" s="7"/>
    </row>
    <row r="695" spans="1:25" x14ac:dyDescent="0.3">
      <c r="A695" t="s">
        <v>112</v>
      </c>
      <c r="B695" s="7" t="s">
        <v>1022</v>
      </c>
      <c r="W695" s="7" t="s">
        <v>1024</v>
      </c>
      <c r="X695" s="7">
        <v>3234</v>
      </c>
      <c r="Y695" s="30"/>
    </row>
    <row r="696" spans="1:25" x14ac:dyDescent="0.3">
      <c r="A696" t="s">
        <v>112</v>
      </c>
      <c r="B696" s="7" t="s">
        <v>1022</v>
      </c>
      <c r="W696" s="7" t="s">
        <v>1023</v>
      </c>
      <c r="X696" s="7">
        <v>84</v>
      </c>
    </row>
    <row r="697" spans="1:25" x14ac:dyDescent="0.3">
      <c r="A697" t="s">
        <v>112</v>
      </c>
      <c r="B697" s="7" t="s">
        <v>1022</v>
      </c>
      <c r="W697" s="7" t="s">
        <v>1025</v>
      </c>
      <c r="X697" s="7">
        <v>41958</v>
      </c>
    </row>
    <row r="698" spans="1:25" x14ac:dyDescent="0.3">
      <c r="A698" t="s">
        <v>112</v>
      </c>
      <c r="B698" s="7" t="s">
        <v>1022</v>
      </c>
      <c r="W698" s="7" t="s">
        <v>1026</v>
      </c>
      <c r="X698">
        <v>999</v>
      </c>
    </row>
    <row r="699" spans="1:25" x14ac:dyDescent="0.3">
      <c r="A699" t="s">
        <v>112</v>
      </c>
      <c r="B699" s="7" t="s">
        <v>1022</v>
      </c>
      <c r="W699" s="7" t="s">
        <v>1027</v>
      </c>
      <c r="X699">
        <f>X695/X696</f>
        <v>38.5</v>
      </c>
    </row>
    <row r="700" spans="1:25" x14ac:dyDescent="0.3">
      <c r="A700" t="s">
        <v>112</v>
      </c>
      <c r="B700" s="7" t="s">
        <v>1022</v>
      </c>
      <c r="W700" s="7" t="s">
        <v>1028</v>
      </c>
      <c r="X700">
        <f>X697/X698</f>
        <v>42</v>
      </c>
    </row>
    <row r="701" spans="1:25" x14ac:dyDescent="0.3">
      <c r="A701" t="s">
        <v>199</v>
      </c>
      <c r="B701" s="7" t="s">
        <v>1030</v>
      </c>
      <c r="W701" s="7" t="s">
        <v>1031</v>
      </c>
      <c r="X701" s="93">
        <v>18523570000000</v>
      </c>
    </row>
    <row r="702" spans="1:25" x14ac:dyDescent="0.3">
      <c r="A702" t="s">
        <v>199</v>
      </c>
      <c r="B702" s="7" t="s">
        <v>1030</v>
      </c>
      <c r="W702" s="7" t="s">
        <v>1032</v>
      </c>
      <c r="X702" s="93">
        <v>15827156546419</v>
      </c>
    </row>
    <row r="703" spans="1:25" x14ac:dyDescent="0.3">
      <c r="A703" t="s">
        <v>199</v>
      </c>
      <c r="B703" s="8" t="s">
        <v>1037</v>
      </c>
      <c r="W703" s="7" t="s">
        <v>1034</v>
      </c>
      <c r="X703" s="93">
        <v>829541322882</v>
      </c>
    </row>
    <row r="704" spans="1:25" x14ac:dyDescent="0.3">
      <c r="A704" t="s">
        <v>199</v>
      </c>
      <c r="B704" s="8" t="s">
        <v>1037</v>
      </c>
      <c r="W704" t="s">
        <v>1035</v>
      </c>
      <c r="X704" s="93">
        <v>842004728269.48999</v>
      </c>
    </row>
    <row r="705" spans="1:24" x14ac:dyDescent="0.3">
      <c r="A705" t="s">
        <v>199</v>
      </c>
      <c r="B705" t="s">
        <v>1038</v>
      </c>
      <c r="W705" t="s">
        <v>1039</v>
      </c>
      <c r="X705" s="108">
        <v>864</v>
      </c>
    </row>
    <row r="706" spans="1:24" x14ac:dyDescent="0.3">
      <c r="A706" t="s">
        <v>199</v>
      </c>
      <c r="B706" t="s">
        <v>1038</v>
      </c>
      <c r="W706" t="s">
        <v>1040</v>
      </c>
      <c r="X706" s="108">
        <v>302</v>
      </c>
    </row>
    <row r="707" spans="1:24" x14ac:dyDescent="0.3">
      <c r="A707" t="s">
        <v>199</v>
      </c>
      <c r="B707" t="s">
        <v>1042</v>
      </c>
      <c r="W707" t="s">
        <v>1043</v>
      </c>
      <c r="X707" s="108">
        <v>89.489000000000004</v>
      </c>
    </row>
    <row r="708" spans="1:24" x14ac:dyDescent="0.3">
      <c r="A708" t="s">
        <v>199</v>
      </c>
      <c r="B708" t="s">
        <v>1042</v>
      </c>
      <c r="W708" t="s">
        <v>1044</v>
      </c>
      <c r="X708">
        <v>1429.92</v>
      </c>
    </row>
    <row r="709" spans="1:24" x14ac:dyDescent="0.3">
      <c r="A709" t="s">
        <v>199</v>
      </c>
      <c r="B709" t="s">
        <v>1046</v>
      </c>
      <c r="W709" t="s">
        <v>1047</v>
      </c>
      <c r="X709">
        <v>26139.417000000001</v>
      </c>
    </row>
    <row r="710" spans="1:24" x14ac:dyDescent="0.3">
      <c r="A710" t="s">
        <v>199</v>
      </c>
      <c r="B710" t="s">
        <v>1046</v>
      </c>
      <c r="W710" t="s">
        <v>1048</v>
      </c>
      <c r="X710">
        <v>49769.125999999997</v>
      </c>
    </row>
    <row r="711" spans="1:24" x14ac:dyDescent="0.3">
      <c r="A711" t="s">
        <v>205</v>
      </c>
      <c r="B711" t="s">
        <v>1050</v>
      </c>
      <c r="W711" t="s">
        <v>1051</v>
      </c>
      <c r="X711">
        <v>3697.1</v>
      </c>
    </row>
    <row r="712" spans="1:24" x14ac:dyDescent="0.3">
      <c r="A712" t="s">
        <v>205</v>
      </c>
      <c r="B712" t="s">
        <v>1050</v>
      </c>
      <c r="W712" t="s">
        <v>1052</v>
      </c>
      <c r="X712">
        <v>94</v>
      </c>
    </row>
    <row r="713" spans="1:24" x14ac:dyDescent="0.3">
      <c r="A713" t="s">
        <v>205</v>
      </c>
      <c r="B713" t="s">
        <v>1050</v>
      </c>
      <c r="W713" s="64" t="s">
        <v>1053</v>
      </c>
      <c r="X713" s="65">
        <f>X711/X712</f>
        <v>39.330851063829783</v>
      </c>
    </row>
    <row r="714" spans="1:24" x14ac:dyDescent="0.3">
      <c r="A714" t="s">
        <v>205</v>
      </c>
      <c r="B714" t="s">
        <v>1050</v>
      </c>
      <c r="W714" t="s">
        <v>1054</v>
      </c>
      <c r="X714">
        <v>43194</v>
      </c>
    </row>
    <row r="715" spans="1:24" x14ac:dyDescent="0.3">
      <c r="A715" t="s">
        <v>205</v>
      </c>
      <c r="B715" t="s">
        <v>1050</v>
      </c>
      <c r="W715" t="s">
        <v>1055</v>
      </c>
      <c r="X715">
        <v>1028</v>
      </c>
    </row>
    <row r="716" spans="1:24" x14ac:dyDescent="0.3">
      <c r="A716" t="s">
        <v>205</v>
      </c>
      <c r="B716" t="s">
        <v>1050</v>
      </c>
      <c r="W716" s="64" t="s">
        <v>1056</v>
      </c>
      <c r="X716" s="65">
        <f>X714/X715</f>
        <v>42.017509727626461</v>
      </c>
    </row>
    <row r="717" spans="1:24" x14ac:dyDescent="0.3">
      <c r="A717" t="s">
        <v>205</v>
      </c>
      <c r="B717" t="s">
        <v>1058</v>
      </c>
      <c r="W717" t="s">
        <v>1059</v>
      </c>
      <c r="X717">
        <v>357.53300000000002</v>
      </c>
    </row>
    <row r="718" spans="1:24" x14ac:dyDescent="0.3">
      <c r="A718" t="s">
        <v>205</v>
      </c>
      <c r="B718" t="s">
        <v>1058</v>
      </c>
      <c r="W718" t="s">
        <v>1060</v>
      </c>
      <c r="X718">
        <v>40</v>
      </c>
    </row>
    <row r="719" spans="1:24" x14ac:dyDescent="0.3">
      <c r="A719" t="s">
        <v>205</v>
      </c>
      <c r="B719" t="s">
        <v>1058</v>
      </c>
      <c r="W719" t="s">
        <v>1061</v>
      </c>
      <c r="X719">
        <v>5395.1620000000003</v>
      </c>
    </row>
    <row r="720" spans="1:24" x14ac:dyDescent="0.3">
      <c r="A720" t="s">
        <v>205</v>
      </c>
      <c r="B720" t="s">
        <v>1058</v>
      </c>
      <c r="W720" t="s">
        <v>1062</v>
      </c>
      <c r="X720">
        <v>94</v>
      </c>
    </row>
    <row r="721" spans="1:24" x14ac:dyDescent="0.3">
      <c r="A721" t="s">
        <v>205</v>
      </c>
      <c r="B721" t="s">
        <v>1064</v>
      </c>
      <c r="W721" t="s">
        <v>1065</v>
      </c>
      <c r="X721">
        <v>961554.48</v>
      </c>
    </row>
    <row r="722" spans="1:24" x14ac:dyDescent="0.3">
      <c r="A722" t="s">
        <v>205</v>
      </c>
      <c r="B722" t="s">
        <v>1064</v>
      </c>
      <c r="W722" t="s">
        <v>1066</v>
      </c>
      <c r="X722">
        <v>1528901.15</v>
      </c>
    </row>
    <row r="723" spans="1:24" x14ac:dyDescent="0.3">
      <c r="A723" t="s">
        <v>205</v>
      </c>
      <c r="B723" t="s">
        <v>1068</v>
      </c>
      <c r="W723" t="s">
        <v>1070</v>
      </c>
      <c r="X723">
        <v>12684.687</v>
      </c>
    </row>
    <row r="724" spans="1:24" x14ac:dyDescent="0.3">
      <c r="A724" t="s">
        <v>205</v>
      </c>
      <c r="B724" t="s">
        <v>1068</v>
      </c>
      <c r="W724" t="s">
        <v>1069</v>
      </c>
      <c r="X724">
        <v>3078.9810000000002</v>
      </c>
    </row>
    <row r="725" spans="1:24" x14ac:dyDescent="0.3">
      <c r="A725" t="s">
        <v>205</v>
      </c>
      <c r="B725" t="s">
        <v>1068</v>
      </c>
      <c r="W725" s="64" t="s">
        <v>1071</v>
      </c>
      <c r="X725" s="64">
        <f>X723+X724</f>
        <v>15763.668</v>
      </c>
    </row>
    <row r="726" spans="1:24" x14ac:dyDescent="0.3">
      <c r="A726" t="s">
        <v>205</v>
      </c>
      <c r="B726" t="s">
        <v>1068</v>
      </c>
      <c r="W726" t="s">
        <v>1073</v>
      </c>
      <c r="X726">
        <v>12354.261</v>
      </c>
    </row>
    <row r="727" spans="1:24" x14ac:dyDescent="0.3">
      <c r="A727" t="s">
        <v>205</v>
      </c>
      <c r="B727" t="s">
        <v>1068</v>
      </c>
      <c r="W727" t="s">
        <v>1072</v>
      </c>
      <c r="X727">
        <v>2593.683</v>
      </c>
    </row>
    <row r="728" spans="1:24" x14ac:dyDescent="0.3">
      <c r="A728" t="s">
        <v>205</v>
      </c>
      <c r="B728" t="s">
        <v>1068</v>
      </c>
      <c r="W728" s="64" t="s">
        <v>1074</v>
      </c>
      <c r="X728" s="64">
        <f>X726+X727</f>
        <v>14947.944</v>
      </c>
    </row>
    <row r="729" spans="1:24" x14ac:dyDescent="0.3">
      <c r="A729" t="s">
        <v>205</v>
      </c>
      <c r="B729" t="s">
        <v>1076</v>
      </c>
      <c r="W729" t="s">
        <v>1078</v>
      </c>
      <c r="X729">
        <v>1737.796</v>
      </c>
    </row>
    <row r="730" spans="1:24" x14ac:dyDescent="0.3">
      <c r="A730" t="s">
        <v>205</v>
      </c>
      <c r="B730" t="s">
        <v>1076</v>
      </c>
      <c r="W730" t="s">
        <v>1077</v>
      </c>
      <c r="X730">
        <v>453.59500000000003</v>
      </c>
    </row>
    <row r="731" spans="1:24" x14ac:dyDescent="0.3">
      <c r="A731" t="s">
        <v>205</v>
      </c>
      <c r="B731" t="s">
        <v>1076</v>
      </c>
      <c r="W731" t="s">
        <v>1079</v>
      </c>
      <c r="X731">
        <f>X729+X730</f>
        <v>2191.3910000000001</v>
      </c>
    </row>
    <row r="732" spans="1:24" x14ac:dyDescent="0.3">
      <c r="A732" t="s">
        <v>205</v>
      </c>
      <c r="B732" t="s">
        <v>1076</v>
      </c>
      <c r="W732" t="s">
        <v>1080</v>
      </c>
      <c r="X732">
        <v>12354.261</v>
      </c>
    </row>
    <row r="733" spans="1:24" x14ac:dyDescent="0.3">
      <c r="A733" t="s">
        <v>205</v>
      </c>
      <c r="B733" t="s">
        <v>1076</v>
      </c>
      <c r="W733" t="s">
        <v>1081</v>
      </c>
      <c r="X733">
        <v>2593.6889999999999</v>
      </c>
    </row>
    <row r="734" spans="1:24" x14ac:dyDescent="0.3">
      <c r="A734" t="s">
        <v>205</v>
      </c>
      <c r="B734" t="s">
        <v>1076</v>
      </c>
      <c r="W734" t="s">
        <v>1082</v>
      </c>
      <c r="X734">
        <f>X732+X733</f>
        <v>14947.95</v>
      </c>
    </row>
    <row r="735" spans="1:24" x14ac:dyDescent="0.3">
      <c r="A735" t="s">
        <v>205</v>
      </c>
      <c r="B735" t="s">
        <v>1084</v>
      </c>
      <c r="W735" t="s">
        <v>1085</v>
      </c>
      <c r="X735">
        <f>X729</f>
        <v>1737.796</v>
      </c>
    </row>
    <row r="736" spans="1:24" x14ac:dyDescent="0.3">
      <c r="A736" t="s">
        <v>205</v>
      </c>
      <c r="B736" t="s">
        <v>1084</v>
      </c>
      <c r="W736" t="s">
        <v>1086</v>
      </c>
      <c r="X736">
        <f>X730</f>
        <v>453.59500000000003</v>
      </c>
    </row>
    <row r="737" spans="1:24" x14ac:dyDescent="0.3">
      <c r="A737" t="s">
        <v>205</v>
      </c>
      <c r="B737" t="s">
        <v>1084</v>
      </c>
      <c r="W737" t="s">
        <v>1087</v>
      </c>
      <c r="X737">
        <f>X731</f>
        <v>2191.3910000000001</v>
      </c>
    </row>
    <row r="738" spans="1:24" x14ac:dyDescent="0.3">
      <c r="A738" t="s">
        <v>205</v>
      </c>
      <c r="B738" t="s">
        <v>1084</v>
      </c>
      <c r="W738" t="s">
        <v>1088</v>
      </c>
      <c r="X738">
        <f>X723</f>
        <v>12684.687</v>
      </c>
    </row>
    <row r="739" spans="1:24" x14ac:dyDescent="0.3">
      <c r="A739" t="s">
        <v>205</v>
      </c>
      <c r="B739" t="s">
        <v>1084</v>
      </c>
      <c r="W739" t="s">
        <v>1089</v>
      </c>
      <c r="X739">
        <f>X724</f>
        <v>3078.9810000000002</v>
      </c>
    </row>
    <row r="740" spans="1:24" x14ac:dyDescent="0.3">
      <c r="A740" t="s">
        <v>205</v>
      </c>
      <c r="B740" t="s">
        <v>1084</v>
      </c>
      <c r="W740" t="s">
        <v>1091</v>
      </c>
      <c r="X740">
        <f>X725</f>
        <v>15763.668</v>
      </c>
    </row>
    <row r="741" spans="1:24" x14ac:dyDescent="0.3">
      <c r="A741" t="s">
        <v>205</v>
      </c>
      <c r="B741" t="s">
        <v>1084</v>
      </c>
      <c r="W741" t="s">
        <v>1090</v>
      </c>
      <c r="X741">
        <v>1407.37</v>
      </c>
    </row>
    <row r="742" spans="1:24" x14ac:dyDescent="0.3">
      <c r="A742" t="s">
        <v>205</v>
      </c>
      <c r="B742" t="s">
        <v>1084</v>
      </c>
      <c r="W742" t="s">
        <v>1092</v>
      </c>
      <c r="X742">
        <v>32.79</v>
      </c>
    </row>
    <row r="743" spans="1:24" x14ac:dyDescent="0.3">
      <c r="A743" t="s">
        <v>205</v>
      </c>
      <c r="B743" t="s">
        <v>1084</v>
      </c>
      <c r="W743" t="s">
        <v>1093</v>
      </c>
      <c r="X743">
        <f>X741+X742</f>
        <v>1440.1599999999999</v>
      </c>
    </row>
    <row r="744" spans="1:24" ht="28.8" x14ac:dyDescent="0.3">
      <c r="A744" t="s">
        <v>214</v>
      </c>
      <c r="B744" s="15" t="s">
        <v>1095</v>
      </c>
      <c r="W744" s="129" t="s">
        <v>1096</v>
      </c>
      <c r="X744" s="129">
        <v>1</v>
      </c>
    </row>
    <row r="745" spans="1:24" ht="28.8" x14ac:dyDescent="0.3">
      <c r="A745" t="s">
        <v>214</v>
      </c>
      <c r="B745" s="15" t="s">
        <v>1095</v>
      </c>
      <c r="W745" s="129" t="s">
        <v>1097</v>
      </c>
      <c r="X745" s="129">
        <v>469.08</v>
      </c>
    </row>
    <row r="746" spans="1:24" ht="28.8" x14ac:dyDescent="0.3">
      <c r="A746" t="s">
        <v>214</v>
      </c>
      <c r="B746" s="15" t="s">
        <v>1095</v>
      </c>
      <c r="W746" s="129" t="s">
        <v>1098</v>
      </c>
      <c r="X746" s="129">
        <v>267</v>
      </c>
    </row>
    <row r="747" spans="1:24" ht="28.8" x14ac:dyDescent="0.3">
      <c r="A747" t="s">
        <v>214</v>
      </c>
      <c r="B747" s="15" t="s">
        <v>1095</v>
      </c>
      <c r="W747" s="129" t="s">
        <v>1099</v>
      </c>
      <c r="X747" s="129">
        <v>23004.15</v>
      </c>
    </row>
    <row r="748" spans="1:24" ht="28.8" x14ac:dyDescent="0.3">
      <c r="A748" t="s">
        <v>214</v>
      </c>
      <c r="B748" s="15" t="s">
        <v>1095</v>
      </c>
      <c r="W748" s="129" t="s">
        <v>1100</v>
      </c>
      <c r="X748" s="129">
        <v>5413</v>
      </c>
    </row>
    <row r="749" spans="1:24" ht="28.8" x14ac:dyDescent="0.3">
      <c r="A749" t="s">
        <v>214</v>
      </c>
      <c r="B749" s="15" t="s">
        <v>1095</v>
      </c>
      <c r="W749" s="129" t="s">
        <v>1101</v>
      </c>
      <c r="X749" s="129">
        <v>1750899.24</v>
      </c>
    </row>
    <row r="750" spans="1:24" ht="28.8" x14ac:dyDescent="0.3">
      <c r="A750" t="s">
        <v>214</v>
      </c>
      <c r="B750" s="15" t="s">
        <v>1095</v>
      </c>
      <c r="W750" s="130" t="s">
        <v>1102</v>
      </c>
      <c r="X750" s="130">
        <f>X744+X746+X748</f>
        <v>5681</v>
      </c>
    </row>
    <row r="751" spans="1:24" ht="28.8" x14ac:dyDescent="0.3">
      <c r="A751" t="s">
        <v>214</v>
      </c>
      <c r="B751" s="15" t="s">
        <v>1095</v>
      </c>
      <c r="W751" s="130" t="s">
        <v>1103</v>
      </c>
      <c r="X751" s="130">
        <f>X745+X747+X749</f>
        <v>1774372.47</v>
      </c>
    </row>
    <row r="752" spans="1:24" ht="28.8" x14ac:dyDescent="0.3">
      <c r="A752" t="s">
        <v>214</v>
      </c>
      <c r="B752" s="15" t="s">
        <v>1095</v>
      </c>
      <c r="W752" s="129" t="s">
        <v>1104</v>
      </c>
      <c r="X752" s="129">
        <v>695</v>
      </c>
    </row>
    <row r="753" spans="1:24" ht="28.8" x14ac:dyDescent="0.3">
      <c r="A753" t="s">
        <v>214</v>
      </c>
      <c r="B753" s="15" t="s">
        <v>1095</v>
      </c>
      <c r="W753" s="129" t="s">
        <v>1105</v>
      </c>
      <c r="X753" s="129">
        <v>47419.45</v>
      </c>
    </row>
    <row r="754" spans="1:24" ht="28.8" x14ac:dyDescent="0.3">
      <c r="A754" t="s">
        <v>214</v>
      </c>
      <c r="B754" s="15" t="s">
        <v>1095</v>
      </c>
      <c r="W754" s="129" t="s">
        <v>1106</v>
      </c>
      <c r="X754" s="129">
        <v>348130.69</v>
      </c>
    </row>
    <row r="755" spans="1:24" ht="28.8" x14ac:dyDescent="0.3">
      <c r="A755" t="s">
        <v>214</v>
      </c>
      <c r="B755" s="15" t="s">
        <v>1095</v>
      </c>
      <c r="W755" s="130" t="s">
        <v>1107</v>
      </c>
      <c r="X755" s="130">
        <f>X753+X754</f>
        <v>395550.14</v>
      </c>
    </row>
    <row r="756" spans="1:24" ht="28.8" x14ac:dyDescent="0.3">
      <c r="A756" t="s">
        <v>214</v>
      </c>
      <c r="B756" s="15" t="s">
        <v>1095</v>
      </c>
      <c r="W756" s="129" t="s">
        <v>1108</v>
      </c>
      <c r="X756" s="129">
        <v>803</v>
      </c>
    </row>
    <row r="757" spans="1:24" ht="28.8" x14ac:dyDescent="0.3">
      <c r="A757" t="s">
        <v>214</v>
      </c>
      <c r="B757" s="15" t="s">
        <v>1095</v>
      </c>
      <c r="W757" s="129" t="s">
        <v>1109</v>
      </c>
      <c r="X757" s="129">
        <v>126301.94</v>
      </c>
    </row>
    <row r="758" spans="1:24" ht="28.8" x14ac:dyDescent="0.3">
      <c r="A758" t="s">
        <v>214</v>
      </c>
      <c r="B758" s="15" t="s">
        <v>1095</v>
      </c>
      <c r="W758" s="129" t="s">
        <v>1110</v>
      </c>
      <c r="X758" s="129">
        <v>574303.80000000005</v>
      </c>
    </row>
    <row r="759" spans="1:24" ht="28.8" x14ac:dyDescent="0.3">
      <c r="A759" t="s">
        <v>214</v>
      </c>
      <c r="B759" s="15" t="s">
        <v>1095</v>
      </c>
      <c r="W759" s="130" t="s">
        <v>1111</v>
      </c>
      <c r="X759" s="130">
        <f>X757+X758</f>
        <v>700605.74</v>
      </c>
    </row>
    <row r="760" spans="1:24" ht="28.8" x14ac:dyDescent="0.3">
      <c r="A760" t="s">
        <v>214</v>
      </c>
      <c r="B760" s="15" t="s">
        <v>1095</v>
      </c>
      <c r="W760" s="129" t="s">
        <v>1112</v>
      </c>
      <c r="X760" s="129">
        <v>671</v>
      </c>
    </row>
    <row r="761" spans="1:24" ht="28.8" x14ac:dyDescent="0.3">
      <c r="A761" t="s">
        <v>214</v>
      </c>
      <c r="B761" s="15" t="s">
        <v>1095</v>
      </c>
      <c r="W761" s="129" t="s">
        <v>1113</v>
      </c>
      <c r="X761" s="129">
        <v>35940.89</v>
      </c>
    </row>
    <row r="762" spans="1:24" ht="28.8" x14ac:dyDescent="0.3">
      <c r="A762" t="s">
        <v>214</v>
      </c>
      <c r="B762" s="15" t="s">
        <v>1095</v>
      </c>
      <c r="W762" s="129" t="s">
        <v>1114</v>
      </c>
      <c r="X762" s="129">
        <v>310928.73</v>
      </c>
    </row>
    <row r="763" spans="1:24" ht="28.8" x14ac:dyDescent="0.3">
      <c r="A763" t="s">
        <v>214</v>
      </c>
      <c r="B763" s="15" t="s">
        <v>1095</v>
      </c>
      <c r="W763" s="130" t="s">
        <v>1115</v>
      </c>
      <c r="X763" s="130">
        <f>X761+X762</f>
        <v>346869.62</v>
      </c>
    </row>
    <row r="764" spans="1:24" ht="28.8" x14ac:dyDescent="0.3">
      <c r="A764" t="s">
        <v>214</v>
      </c>
      <c r="B764" s="15" t="s">
        <v>1095</v>
      </c>
      <c r="W764" s="129" t="s">
        <v>1116</v>
      </c>
      <c r="X764" s="129">
        <v>22240.1</v>
      </c>
    </row>
    <row r="765" spans="1:24" ht="28.8" x14ac:dyDescent="0.3">
      <c r="A765" t="s">
        <v>214</v>
      </c>
      <c r="B765" s="15" t="s">
        <v>1095</v>
      </c>
      <c r="W765" s="129" t="s">
        <v>1117</v>
      </c>
      <c r="X765" s="129">
        <v>65658.92</v>
      </c>
    </row>
    <row r="766" spans="1:24" ht="28.8" x14ac:dyDescent="0.3">
      <c r="A766" t="s">
        <v>214</v>
      </c>
      <c r="B766" s="15" t="s">
        <v>1095</v>
      </c>
      <c r="W766" s="130" t="s">
        <v>1118</v>
      </c>
      <c r="X766" s="130">
        <f>X764+X765</f>
        <v>87899.01999999999</v>
      </c>
    </row>
    <row r="767" spans="1:24" ht="28.8" x14ac:dyDescent="0.3">
      <c r="A767" t="s">
        <v>214</v>
      </c>
      <c r="B767" s="15" t="s">
        <v>1095</v>
      </c>
      <c r="W767" s="129" t="s">
        <v>1119</v>
      </c>
      <c r="X767" s="129">
        <v>74.150000000000006</v>
      </c>
    </row>
    <row r="768" spans="1:24" ht="28.8" x14ac:dyDescent="0.3">
      <c r="A768" t="s">
        <v>214</v>
      </c>
      <c r="B768" s="15" t="s">
        <v>1095</v>
      </c>
      <c r="W768" s="129" t="s">
        <v>1120</v>
      </c>
      <c r="X768" s="129">
        <v>7998.76</v>
      </c>
    </row>
    <row r="769" spans="1:24" ht="28.8" x14ac:dyDescent="0.3">
      <c r="A769" t="s">
        <v>214</v>
      </c>
      <c r="B769" s="15" t="s">
        <v>1095</v>
      </c>
      <c r="W769" s="130" t="s">
        <v>1121</v>
      </c>
      <c r="X769" s="130">
        <f>X767+X768</f>
        <v>8072.91</v>
      </c>
    </row>
    <row r="770" spans="1:24" ht="28.8" x14ac:dyDescent="0.3">
      <c r="A770" t="s">
        <v>214</v>
      </c>
      <c r="B770" s="15" t="s">
        <v>1095</v>
      </c>
      <c r="W770" s="129" t="s">
        <v>1122</v>
      </c>
      <c r="X770" s="129">
        <v>0</v>
      </c>
    </row>
    <row r="771" spans="1:24" ht="28.8" x14ac:dyDescent="0.3">
      <c r="A771" t="s">
        <v>214</v>
      </c>
      <c r="B771" s="15" t="s">
        <v>1095</v>
      </c>
      <c r="W771" s="129" t="s">
        <v>1123</v>
      </c>
      <c r="X771" s="129">
        <v>67.61</v>
      </c>
    </row>
    <row r="772" spans="1:24" ht="28.8" x14ac:dyDescent="0.3">
      <c r="A772" t="s">
        <v>214</v>
      </c>
      <c r="B772" s="15" t="s">
        <v>1095</v>
      </c>
      <c r="W772" s="130" t="s">
        <v>1124</v>
      </c>
      <c r="X772" s="130">
        <f>X770+X771</f>
        <v>67.61</v>
      </c>
    </row>
    <row r="773" spans="1:24" ht="28.8" x14ac:dyDescent="0.3">
      <c r="A773" t="s">
        <v>214</v>
      </c>
      <c r="B773" s="15" t="s">
        <v>1095</v>
      </c>
      <c r="W773" s="129" t="s">
        <v>1125</v>
      </c>
      <c r="X773" s="129">
        <v>920.62</v>
      </c>
    </row>
    <row r="774" spans="1:24" ht="28.8" x14ac:dyDescent="0.3">
      <c r="A774" t="s">
        <v>214</v>
      </c>
      <c r="B774" s="15" t="s">
        <v>1095</v>
      </c>
      <c r="W774" s="129" t="s">
        <v>1126</v>
      </c>
      <c r="X774" s="129">
        <v>8243.43</v>
      </c>
    </row>
    <row r="775" spans="1:24" ht="28.8" x14ac:dyDescent="0.3">
      <c r="A775" t="s">
        <v>214</v>
      </c>
      <c r="B775" s="15" t="s">
        <v>1095</v>
      </c>
      <c r="W775" s="130" t="s">
        <v>1127</v>
      </c>
      <c r="X775" s="130">
        <f>X773+X774</f>
        <v>9164.0500000000011</v>
      </c>
    </row>
    <row r="776" spans="1:24" ht="28.8" x14ac:dyDescent="0.3">
      <c r="A776" t="s">
        <v>214</v>
      </c>
      <c r="B776" s="15" t="s">
        <v>1095</v>
      </c>
      <c r="W776" s="129" t="s">
        <v>1128</v>
      </c>
      <c r="X776" s="129">
        <v>731.89</v>
      </c>
    </row>
    <row r="777" spans="1:24" ht="28.8" x14ac:dyDescent="0.3">
      <c r="A777" t="s">
        <v>214</v>
      </c>
      <c r="B777" s="15" t="s">
        <v>1095</v>
      </c>
      <c r="W777" s="129" t="s">
        <v>1129</v>
      </c>
      <c r="X777" s="129">
        <v>10960.68</v>
      </c>
    </row>
    <row r="778" spans="1:24" ht="28.8" x14ac:dyDescent="0.3">
      <c r="A778" t="s">
        <v>214</v>
      </c>
      <c r="B778" s="15" t="s">
        <v>1095</v>
      </c>
      <c r="W778" s="129" t="s">
        <v>1130</v>
      </c>
      <c r="X778" s="130">
        <f>X776+X777</f>
        <v>11692.57</v>
      </c>
    </row>
    <row r="779" spans="1:24" ht="28.8" x14ac:dyDescent="0.3">
      <c r="A779" t="s">
        <v>214</v>
      </c>
      <c r="B779" s="15" t="s">
        <v>1095</v>
      </c>
      <c r="W779" s="129" t="s">
        <v>1131</v>
      </c>
      <c r="X779" s="129">
        <v>478.08</v>
      </c>
    </row>
    <row r="780" spans="1:24" ht="28.8" x14ac:dyDescent="0.3">
      <c r="A780" t="s">
        <v>214</v>
      </c>
      <c r="B780" s="15" t="s">
        <v>1095</v>
      </c>
      <c r="W780" s="129" t="s">
        <v>1132</v>
      </c>
      <c r="X780" s="129">
        <v>13526.77</v>
      </c>
    </row>
    <row r="781" spans="1:24" ht="28.8" x14ac:dyDescent="0.3">
      <c r="A781" t="s">
        <v>214</v>
      </c>
      <c r="B781" s="15" t="s">
        <v>1095</v>
      </c>
      <c r="W781" s="129" t="s">
        <v>1133</v>
      </c>
      <c r="X781" s="130">
        <f>X779+X780</f>
        <v>14004.85</v>
      </c>
    </row>
    <row r="782" spans="1:24" ht="28.8" x14ac:dyDescent="0.3">
      <c r="A782" t="s">
        <v>214</v>
      </c>
      <c r="B782" s="15" t="s">
        <v>1095</v>
      </c>
      <c r="W782" s="129" t="s">
        <v>1134</v>
      </c>
      <c r="X782" s="129">
        <v>553.63</v>
      </c>
    </row>
    <row r="783" spans="1:24" ht="28.8" x14ac:dyDescent="0.3">
      <c r="A783" t="s">
        <v>214</v>
      </c>
      <c r="B783" s="15" t="s">
        <v>1095</v>
      </c>
      <c r="W783" s="129" t="s">
        <v>1135</v>
      </c>
      <c r="X783" s="129">
        <v>18653.37</v>
      </c>
    </row>
    <row r="784" spans="1:24" ht="28.8" x14ac:dyDescent="0.3">
      <c r="A784" t="s">
        <v>214</v>
      </c>
      <c r="B784" s="15" t="s">
        <v>1095</v>
      </c>
      <c r="W784" s="129" t="s">
        <v>1136</v>
      </c>
      <c r="X784" s="130">
        <f>X782+X783</f>
        <v>19207</v>
      </c>
    </row>
    <row r="785" spans="1:24" ht="28.8" x14ac:dyDescent="0.3">
      <c r="A785" t="s">
        <v>214</v>
      </c>
      <c r="B785" s="15" t="s">
        <v>1095</v>
      </c>
      <c r="W785" s="129" t="s">
        <v>1137</v>
      </c>
      <c r="X785" s="129">
        <v>0.09</v>
      </c>
    </row>
    <row r="786" spans="1:24" ht="28.8" x14ac:dyDescent="0.3">
      <c r="A786" t="s">
        <v>214</v>
      </c>
      <c r="B786" s="15" t="s">
        <v>1095</v>
      </c>
      <c r="W786" s="129" t="s">
        <v>1138</v>
      </c>
      <c r="X786" s="129">
        <v>1936.56</v>
      </c>
    </row>
    <row r="787" spans="1:24" ht="28.8" x14ac:dyDescent="0.3">
      <c r="A787" t="s">
        <v>214</v>
      </c>
      <c r="B787" s="15" t="s">
        <v>1095</v>
      </c>
      <c r="W787" s="129" t="s">
        <v>1139</v>
      </c>
      <c r="X787" s="130">
        <f>X785+X786</f>
        <v>1936.6499999999999</v>
      </c>
    </row>
    <row r="788" spans="1:24" ht="28.8" x14ac:dyDescent="0.3">
      <c r="A788" t="s">
        <v>214</v>
      </c>
      <c r="B788" s="15" t="s">
        <v>1095</v>
      </c>
      <c r="W788" s="129" t="s">
        <v>1140</v>
      </c>
      <c r="X788" s="129">
        <v>1144.26</v>
      </c>
    </row>
    <row r="789" spans="1:24" ht="28.8" x14ac:dyDescent="0.3">
      <c r="A789" t="s">
        <v>214</v>
      </c>
      <c r="B789" s="15" t="s">
        <v>1095</v>
      </c>
      <c r="W789" s="129" t="s">
        <v>1141</v>
      </c>
      <c r="X789" s="129">
        <v>41337.22</v>
      </c>
    </row>
    <row r="790" spans="1:24" ht="28.8" x14ac:dyDescent="0.3">
      <c r="A790" t="s">
        <v>214</v>
      </c>
      <c r="B790" s="15" t="s">
        <v>1095</v>
      </c>
      <c r="W790" s="129" t="s">
        <v>1142</v>
      </c>
      <c r="X790" s="130">
        <f>X788+X789</f>
        <v>42481.48</v>
      </c>
    </row>
    <row r="791" spans="1:24" ht="28.8" x14ac:dyDescent="0.3">
      <c r="A791" t="s">
        <v>214</v>
      </c>
      <c r="B791" s="15" t="s">
        <v>1095</v>
      </c>
      <c r="W791" s="129" t="s">
        <v>1143</v>
      </c>
      <c r="X791" s="129">
        <v>1119.8399999999999</v>
      </c>
    </row>
    <row r="792" spans="1:24" ht="28.8" x14ac:dyDescent="0.3">
      <c r="A792" t="s">
        <v>214</v>
      </c>
      <c r="B792" s="15" t="s">
        <v>1095</v>
      </c>
      <c r="W792" s="129" t="s">
        <v>1144</v>
      </c>
      <c r="X792" s="129">
        <v>5712.3</v>
      </c>
    </row>
    <row r="793" spans="1:24" ht="28.8" x14ac:dyDescent="0.3">
      <c r="A793" t="s">
        <v>214</v>
      </c>
      <c r="B793" s="15" t="s">
        <v>1095</v>
      </c>
      <c r="W793" s="129" t="s">
        <v>1145</v>
      </c>
      <c r="X793" s="130">
        <f>X791+X792</f>
        <v>6832.14</v>
      </c>
    </row>
    <row r="794" spans="1:24" ht="28.8" x14ac:dyDescent="0.3">
      <c r="A794" t="s">
        <v>214</v>
      </c>
      <c r="B794" s="15" t="s">
        <v>1095</v>
      </c>
      <c r="W794" s="129" t="s">
        <v>1146</v>
      </c>
      <c r="X794" s="129">
        <v>105603.55</v>
      </c>
    </row>
    <row r="795" spans="1:24" ht="28.8" x14ac:dyDescent="0.3">
      <c r="A795" t="s">
        <v>214</v>
      </c>
      <c r="B795" s="15" t="s">
        <v>1095</v>
      </c>
      <c r="W795" s="129" t="s">
        <v>1147</v>
      </c>
      <c r="X795" s="129">
        <v>369734.71</v>
      </c>
    </row>
    <row r="796" spans="1:24" ht="28.8" x14ac:dyDescent="0.3">
      <c r="A796" t="s">
        <v>214</v>
      </c>
      <c r="B796" s="15" t="s">
        <v>1095</v>
      </c>
      <c r="W796" s="129" t="s">
        <v>1148</v>
      </c>
      <c r="X796" s="130">
        <f>X794+X795</f>
        <v>475338.26</v>
      </c>
    </row>
    <row r="797" spans="1:24" ht="28.8" x14ac:dyDescent="0.3">
      <c r="A797" t="s">
        <v>214</v>
      </c>
      <c r="B797" s="15" t="s">
        <v>1095</v>
      </c>
      <c r="W797" s="129" t="s">
        <v>1149</v>
      </c>
      <c r="X797" s="129">
        <v>19.399999999999999</v>
      </c>
    </row>
    <row r="798" spans="1:24" ht="28.8" x14ac:dyDescent="0.3">
      <c r="A798" t="s">
        <v>214</v>
      </c>
      <c r="B798" s="15" t="s">
        <v>1095</v>
      </c>
      <c r="W798" s="129" t="s">
        <v>1150</v>
      </c>
      <c r="X798" s="129">
        <v>0</v>
      </c>
    </row>
    <row r="799" spans="1:24" ht="28.8" x14ac:dyDescent="0.3">
      <c r="A799" t="s">
        <v>214</v>
      </c>
      <c r="B799" s="15" t="s">
        <v>1095</v>
      </c>
      <c r="W799" s="129" t="s">
        <v>1151</v>
      </c>
      <c r="X799" s="130">
        <f>X797+X798</f>
        <v>19.399999999999999</v>
      </c>
    </row>
    <row r="800" spans="1:24" ht="28.8" x14ac:dyDescent="0.3">
      <c r="A800" t="s">
        <v>214</v>
      </c>
      <c r="B800" s="15" t="s">
        <v>1095</v>
      </c>
      <c r="W800" s="129" t="s">
        <v>1152</v>
      </c>
      <c r="X800" s="129">
        <v>0</v>
      </c>
    </row>
    <row r="801" spans="1:24" ht="28.8" x14ac:dyDescent="0.3">
      <c r="A801" t="s">
        <v>214</v>
      </c>
      <c r="B801" s="15" t="s">
        <v>1095</v>
      </c>
      <c r="W801" s="129" t="s">
        <v>1153</v>
      </c>
      <c r="X801" s="129">
        <v>290.92</v>
      </c>
    </row>
    <row r="802" spans="1:24" ht="28.8" x14ac:dyDescent="0.3">
      <c r="A802" t="s">
        <v>214</v>
      </c>
      <c r="B802" s="15" t="s">
        <v>1095</v>
      </c>
      <c r="W802" s="129" t="s">
        <v>1154</v>
      </c>
      <c r="X802" s="130">
        <f>X800+X801</f>
        <v>290.92</v>
      </c>
    </row>
    <row r="803" spans="1:24" ht="28.8" x14ac:dyDescent="0.3">
      <c r="A803" t="s">
        <v>214</v>
      </c>
      <c r="B803" s="15" t="s">
        <v>1095</v>
      </c>
      <c r="W803" s="129" t="s">
        <v>1155</v>
      </c>
      <c r="X803" s="129">
        <v>5546.71</v>
      </c>
    </row>
    <row r="804" spans="1:24" ht="28.8" x14ac:dyDescent="0.3">
      <c r="A804" t="s">
        <v>214</v>
      </c>
      <c r="B804" s="15" t="s">
        <v>1095</v>
      </c>
      <c r="W804" s="129" t="s">
        <v>1156</v>
      </c>
      <c r="X804" s="129">
        <v>99782.04</v>
      </c>
    </row>
    <row r="805" spans="1:24" ht="28.8" x14ac:dyDescent="0.3">
      <c r="A805" t="s">
        <v>214</v>
      </c>
      <c r="B805" s="15" t="s">
        <v>1095</v>
      </c>
      <c r="W805" s="129" t="s">
        <v>1157</v>
      </c>
      <c r="X805" s="130">
        <f>X803+X804</f>
        <v>105328.75</v>
      </c>
    </row>
    <row r="806" spans="1:24" ht="28.8" x14ac:dyDescent="0.3">
      <c r="A806" t="s">
        <v>214</v>
      </c>
      <c r="B806" s="15" t="s">
        <v>1095</v>
      </c>
      <c r="W806" s="129" t="s">
        <v>1158</v>
      </c>
      <c r="X806" s="129">
        <v>5291.03</v>
      </c>
    </row>
    <row r="807" spans="1:24" ht="28.8" x14ac:dyDescent="0.3">
      <c r="A807" t="s">
        <v>214</v>
      </c>
      <c r="B807" s="15" t="s">
        <v>1095</v>
      </c>
      <c r="W807" s="129" t="s">
        <v>1159</v>
      </c>
      <c r="X807" s="129">
        <v>58284.17</v>
      </c>
    </row>
    <row r="808" spans="1:24" ht="28.8" x14ac:dyDescent="0.3">
      <c r="A808" t="s">
        <v>214</v>
      </c>
      <c r="B808" s="15" t="s">
        <v>1095</v>
      </c>
      <c r="W808" s="129" t="s">
        <v>1160</v>
      </c>
      <c r="X808" s="130">
        <f>X806+X807</f>
        <v>63575.199999999997</v>
      </c>
    </row>
    <row r="809" spans="1:24" ht="28.8" x14ac:dyDescent="0.3">
      <c r="A809" t="s">
        <v>214</v>
      </c>
      <c r="B809" s="15" t="s">
        <v>1095</v>
      </c>
      <c r="W809" s="130" t="s">
        <v>1161</v>
      </c>
      <c r="X809" s="64">
        <f>X764+X767+X770+X773+X776+X779+X782+X785</f>
        <v>24998.560000000001</v>
      </c>
    </row>
    <row r="810" spans="1:24" ht="28.8" x14ac:dyDescent="0.3">
      <c r="A810" t="s">
        <v>214</v>
      </c>
      <c r="B810" s="15" t="s">
        <v>1095</v>
      </c>
      <c r="W810" s="130" t="s">
        <v>1162</v>
      </c>
      <c r="X810" s="64">
        <f>X765+X768+X771+X774+X777+X780+X783+X786</f>
        <v>127046.09999999999</v>
      </c>
    </row>
    <row r="811" spans="1:24" ht="28.8" x14ac:dyDescent="0.3">
      <c r="A811" t="s">
        <v>214</v>
      </c>
      <c r="B811" s="15" t="s">
        <v>1095</v>
      </c>
      <c r="W811" s="130" t="s">
        <v>1163</v>
      </c>
      <c r="X811" s="64">
        <f>X766+X769+X772+X775+X778+X781+X784+X787</f>
        <v>152044.66</v>
      </c>
    </row>
    <row r="812" spans="1:24" ht="28.8" x14ac:dyDescent="0.3">
      <c r="A812" t="s">
        <v>214</v>
      </c>
      <c r="B812" s="15" t="s">
        <v>1095</v>
      </c>
      <c r="W812" s="130" t="s">
        <v>1164</v>
      </c>
      <c r="X812" s="64">
        <f>X788+X791+X794+X797</f>
        <v>107887.05</v>
      </c>
    </row>
    <row r="813" spans="1:24" ht="28.8" x14ac:dyDescent="0.3">
      <c r="A813" t="s">
        <v>214</v>
      </c>
      <c r="B813" s="15" t="s">
        <v>1095</v>
      </c>
      <c r="W813" s="130" t="s">
        <v>1165</v>
      </c>
      <c r="X813" s="64">
        <f t="shared" ref="X813:X814" si="8">X789+X792+X795+X798</f>
        <v>416784.23000000004</v>
      </c>
    </row>
    <row r="814" spans="1:24" ht="28.8" x14ac:dyDescent="0.3">
      <c r="A814" t="s">
        <v>214</v>
      </c>
      <c r="B814" s="15" t="s">
        <v>1095</v>
      </c>
      <c r="W814" s="130" t="s">
        <v>1166</v>
      </c>
      <c r="X814" s="64">
        <f t="shared" si="8"/>
        <v>524671.28</v>
      </c>
    </row>
    <row r="815" spans="1:24" ht="28.8" x14ac:dyDescent="0.3">
      <c r="A815" t="s">
        <v>214</v>
      </c>
      <c r="B815" s="15" t="s">
        <v>1095</v>
      </c>
      <c r="W815" s="130" t="s">
        <v>1167</v>
      </c>
      <c r="X815" s="64">
        <f>X800+X803+X806</f>
        <v>10837.74</v>
      </c>
    </row>
    <row r="816" spans="1:24" ht="28.8" x14ac:dyDescent="0.3">
      <c r="A816" t="s">
        <v>214</v>
      </c>
      <c r="B816" s="15" t="s">
        <v>1095</v>
      </c>
      <c r="W816" s="130" t="s">
        <v>1168</v>
      </c>
      <c r="X816" s="64">
        <f t="shared" ref="X816:X817" si="9">X801+X804+X807</f>
        <v>158357.13</v>
      </c>
    </row>
    <row r="817" spans="1:24" ht="28.8" x14ac:dyDescent="0.3">
      <c r="A817" t="s">
        <v>214</v>
      </c>
      <c r="B817" s="15" t="s">
        <v>1095</v>
      </c>
      <c r="W817" s="130" t="s">
        <v>1169</v>
      </c>
      <c r="X817" s="64">
        <f t="shared" si="9"/>
        <v>169194.87</v>
      </c>
    </row>
    <row r="818" spans="1:24" ht="28.8" x14ac:dyDescent="0.3">
      <c r="A818" t="s">
        <v>214</v>
      </c>
      <c r="B818" s="15" t="s">
        <v>1095</v>
      </c>
      <c r="W818" s="145" t="s">
        <v>1170</v>
      </c>
      <c r="X818" s="146">
        <f>(X811/X755)*100</f>
        <v>38.43878300738308</v>
      </c>
    </row>
    <row r="819" spans="1:24" ht="28.8" x14ac:dyDescent="0.3">
      <c r="A819" t="s">
        <v>214</v>
      </c>
      <c r="B819" s="15" t="s">
        <v>1095</v>
      </c>
      <c r="W819" s="145" t="s">
        <v>1171</v>
      </c>
      <c r="X819" s="146">
        <f>(X814/X759)*100</f>
        <v>74.888235999893467</v>
      </c>
    </row>
    <row r="820" spans="1:24" ht="28.8" x14ac:dyDescent="0.3">
      <c r="A820" t="s">
        <v>214</v>
      </c>
      <c r="B820" s="15" t="s">
        <v>1095</v>
      </c>
      <c r="W820" s="147" t="s">
        <v>1172</v>
      </c>
      <c r="X820" s="146">
        <f>(X817/X763)*100</f>
        <v>48.77765599650958</v>
      </c>
    </row>
    <row r="821" spans="1:24" ht="28.8" x14ac:dyDescent="0.3">
      <c r="A821" t="s">
        <v>214</v>
      </c>
      <c r="B821" s="15" t="s">
        <v>1095</v>
      </c>
      <c r="W821" s="148" t="s">
        <v>1173</v>
      </c>
      <c r="X821" s="146" t="str">
        <f>IF(X818=0,"Nula",IF(X818&lt;20,"Baja",IF(X818&lt;50,"Moderada","Alta")))</f>
        <v>Moderada</v>
      </c>
    </row>
    <row r="822" spans="1:24" ht="28.8" x14ac:dyDescent="0.3">
      <c r="A822" t="s">
        <v>214</v>
      </c>
      <c r="B822" s="15" t="s">
        <v>1095</v>
      </c>
      <c r="W822" s="148" t="s">
        <v>1174</v>
      </c>
      <c r="X822" s="146" t="str">
        <f>IF(X819=0,"Nula",IF(X819&lt;20,"Baja",IF(X819&lt;50,"Moderada","Alta")))</f>
        <v>Alta</v>
      </c>
    </row>
    <row r="823" spans="1:24" ht="28.8" x14ac:dyDescent="0.3">
      <c r="A823" t="s">
        <v>214</v>
      </c>
      <c r="B823" s="15" t="s">
        <v>1095</v>
      </c>
      <c r="W823" s="148" t="s">
        <v>1175</v>
      </c>
      <c r="X823" s="146" t="str">
        <f>IF(X820=0,"Nula",IF(X820&lt;20,"Baja",IF(X820&lt;50,"Moderada","Alta")))</f>
        <v>Moderada</v>
      </c>
    </row>
    <row r="824" spans="1:24" ht="28.8" x14ac:dyDescent="0.3">
      <c r="A824" t="s">
        <v>214</v>
      </c>
      <c r="B824" s="15" t="s">
        <v>1177</v>
      </c>
      <c r="W824" s="129" t="s">
        <v>1178</v>
      </c>
      <c r="X824" s="129">
        <v>8</v>
      </c>
    </row>
    <row r="825" spans="1:24" ht="28.8" x14ac:dyDescent="0.3">
      <c r="A825" t="s">
        <v>214</v>
      </c>
      <c r="B825" s="15" t="s">
        <v>1177</v>
      </c>
      <c r="W825" s="129" t="s">
        <v>1179</v>
      </c>
      <c r="X825" s="129">
        <v>9303.3799999999992</v>
      </c>
    </row>
    <row r="826" spans="1:24" ht="28.8" x14ac:dyDescent="0.3">
      <c r="A826" t="s">
        <v>214</v>
      </c>
      <c r="B826" s="15" t="s">
        <v>1177</v>
      </c>
      <c r="W826" s="129" t="s">
        <v>1180</v>
      </c>
      <c r="X826" s="129">
        <v>15</v>
      </c>
    </row>
    <row r="827" spans="1:24" ht="28.8" x14ac:dyDescent="0.3">
      <c r="A827" t="s">
        <v>214</v>
      </c>
      <c r="B827" s="15" t="s">
        <v>1177</v>
      </c>
      <c r="W827" s="129" t="s">
        <v>1181</v>
      </c>
      <c r="X827" s="129">
        <v>7066.19</v>
      </c>
    </row>
    <row r="828" spans="1:24" ht="28.8" x14ac:dyDescent="0.3">
      <c r="A828" t="s">
        <v>214</v>
      </c>
      <c r="B828" s="15" t="s">
        <v>1177</v>
      </c>
      <c r="W828" s="129" t="s">
        <v>1182</v>
      </c>
      <c r="X828" s="129">
        <v>18</v>
      </c>
    </row>
    <row r="829" spans="1:24" ht="28.8" x14ac:dyDescent="0.3">
      <c r="A829" t="s">
        <v>214</v>
      </c>
      <c r="B829" s="15" t="s">
        <v>1177</v>
      </c>
      <c r="W829" s="129" t="s">
        <v>1183</v>
      </c>
      <c r="X829" s="129">
        <v>2175.39</v>
      </c>
    </row>
    <row r="830" spans="1:24" ht="28.8" x14ac:dyDescent="0.3">
      <c r="A830" t="s">
        <v>214</v>
      </c>
      <c r="B830" s="15" t="s">
        <v>1177</v>
      </c>
      <c r="W830" s="129" t="s">
        <v>1184</v>
      </c>
      <c r="X830" s="129">
        <v>1597.71</v>
      </c>
    </row>
    <row r="831" spans="1:24" ht="28.8" x14ac:dyDescent="0.3">
      <c r="A831" t="s">
        <v>214</v>
      </c>
      <c r="B831" s="15" t="s">
        <v>1177</v>
      </c>
      <c r="W831" s="129" t="s">
        <v>1185</v>
      </c>
      <c r="X831" s="129">
        <v>0.12</v>
      </c>
    </row>
    <row r="832" spans="1:24" ht="28.8" x14ac:dyDescent="0.3">
      <c r="A832" t="s">
        <v>214</v>
      </c>
      <c r="B832" s="15" t="s">
        <v>1177</v>
      </c>
      <c r="W832" s="129" t="s">
        <v>1186</v>
      </c>
      <c r="X832" s="129">
        <v>18.71</v>
      </c>
    </row>
    <row r="833" spans="1:24" ht="28.8" x14ac:dyDescent="0.3">
      <c r="A833" t="s">
        <v>214</v>
      </c>
      <c r="B833" s="15" t="s">
        <v>1177</v>
      </c>
      <c r="W833" s="129" t="s">
        <v>1187</v>
      </c>
      <c r="X833" s="129">
        <v>37.99</v>
      </c>
    </row>
    <row r="834" spans="1:24" ht="28.8" x14ac:dyDescent="0.3">
      <c r="A834" t="s">
        <v>214</v>
      </c>
      <c r="B834" s="15" t="s">
        <v>1177</v>
      </c>
      <c r="W834" s="129" t="s">
        <v>1188</v>
      </c>
      <c r="X834" s="129">
        <v>2335.5700000000002</v>
      </c>
    </row>
    <row r="835" spans="1:24" ht="28.8" x14ac:dyDescent="0.3">
      <c r="A835" t="s">
        <v>214</v>
      </c>
      <c r="B835" s="15" t="s">
        <v>1177</v>
      </c>
      <c r="W835" s="130" t="s">
        <v>1189</v>
      </c>
      <c r="X835" s="130">
        <f>SUM(X830:X834)</f>
        <v>3990.1000000000004</v>
      </c>
    </row>
    <row r="836" spans="1:24" ht="28.8" x14ac:dyDescent="0.3">
      <c r="A836" t="s">
        <v>214</v>
      </c>
      <c r="B836" s="15" t="s">
        <v>1177</v>
      </c>
      <c r="W836" s="129" t="s">
        <v>1190</v>
      </c>
      <c r="X836" s="129">
        <v>6069.44</v>
      </c>
    </row>
    <row r="837" spans="1:24" ht="28.8" x14ac:dyDescent="0.3">
      <c r="A837" t="s">
        <v>214</v>
      </c>
      <c r="B837" s="15" t="s">
        <v>1177</v>
      </c>
      <c r="W837" s="129" t="s">
        <v>1191</v>
      </c>
      <c r="X837" s="129">
        <v>55.18</v>
      </c>
    </row>
    <row r="838" spans="1:24" ht="28.8" x14ac:dyDescent="0.3">
      <c r="A838" t="s">
        <v>214</v>
      </c>
      <c r="B838" s="15" t="s">
        <v>1177</v>
      </c>
      <c r="W838" s="129" t="s">
        <v>1192</v>
      </c>
      <c r="X838" s="129">
        <v>112.06</v>
      </c>
    </row>
    <row r="839" spans="1:24" ht="28.8" x14ac:dyDescent="0.3">
      <c r="A839" t="s">
        <v>214</v>
      </c>
      <c r="B839" s="15" t="s">
        <v>1177</v>
      </c>
      <c r="W839" s="130" t="s">
        <v>1193</v>
      </c>
      <c r="X839" s="130">
        <f>SUM(X836:X838)</f>
        <v>6236.68</v>
      </c>
    </row>
    <row r="840" spans="1:24" ht="28.8" x14ac:dyDescent="0.3">
      <c r="A840" t="s">
        <v>214</v>
      </c>
      <c r="B840" s="15" t="s">
        <v>1177</v>
      </c>
      <c r="W840" s="149" t="s">
        <v>1194</v>
      </c>
      <c r="X840" s="129">
        <v>119.81</v>
      </c>
    </row>
    <row r="841" spans="1:24" ht="28.8" x14ac:dyDescent="0.3">
      <c r="A841" t="s">
        <v>214</v>
      </c>
      <c r="B841" s="15" t="s">
        <v>1177</v>
      </c>
      <c r="W841" s="149" t="s">
        <v>1195</v>
      </c>
      <c r="X841" s="129">
        <v>804.63</v>
      </c>
    </row>
    <row r="842" spans="1:24" ht="28.8" x14ac:dyDescent="0.3">
      <c r="A842" t="s">
        <v>214</v>
      </c>
      <c r="B842" s="15" t="s">
        <v>1177</v>
      </c>
      <c r="W842" s="150" t="s">
        <v>1196</v>
      </c>
      <c r="X842" s="130">
        <f>SUM(X840:X841)</f>
        <v>924.44</v>
      </c>
    </row>
    <row r="843" spans="1:24" ht="28.8" x14ac:dyDescent="0.3">
      <c r="A843" t="s">
        <v>214</v>
      </c>
      <c r="B843" s="15" t="s">
        <v>1177</v>
      </c>
      <c r="W843" s="151" t="s">
        <v>1197</v>
      </c>
      <c r="X843" s="65">
        <f>(X835/X825)*100</f>
        <v>42.888713564317491</v>
      </c>
    </row>
    <row r="844" spans="1:24" ht="28.8" x14ac:dyDescent="0.3">
      <c r="A844" t="s">
        <v>214</v>
      </c>
      <c r="B844" s="15" t="s">
        <v>1177</v>
      </c>
      <c r="W844" s="151" t="s">
        <v>1198</v>
      </c>
      <c r="X844" s="65">
        <f>(X839/X827)*100</f>
        <v>88.260859105118897</v>
      </c>
    </row>
    <row r="845" spans="1:24" ht="28.8" x14ac:dyDescent="0.3">
      <c r="A845" t="s">
        <v>214</v>
      </c>
      <c r="B845" s="15" t="s">
        <v>1177</v>
      </c>
      <c r="W845" s="151" t="s">
        <v>1199</v>
      </c>
      <c r="X845" s="65">
        <f>(X842/X829)*100</f>
        <v>42.495368646541543</v>
      </c>
    </row>
    <row r="846" spans="1:24" ht="28.8" x14ac:dyDescent="0.3">
      <c r="A846" t="s">
        <v>214</v>
      </c>
      <c r="B846" s="15" t="s">
        <v>1177</v>
      </c>
      <c r="W846" s="151" t="s">
        <v>1200</v>
      </c>
      <c r="X846" s="64" t="str">
        <f>IF(X843=0,"Nula",IF(AND(X843&gt;=1,X843&lt;20),"Baja",IF(AND(X843&gt;=20,X843&lt;50),"Moderada","Alta")))</f>
        <v>Moderada</v>
      </c>
    </row>
    <row r="847" spans="1:24" ht="28.8" x14ac:dyDescent="0.3">
      <c r="A847" t="s">
        <v>214</v>
      </c>
      <c r="B847" s="15" t="s">
        <v>1177</v>
      </c>
      <c r="W847" s="151" t="s">
        <v>1201</v>
      </c>
      <c r="X847" s="64" t="str">
        <f>IF(X844=0,"Nula",IF(AND(X844&gt;=1,X844&lt;20),"Baja",IF(AND(X844&gt;=20,X844&lt;50),"Moderada","Alta")))</f>
        <v>Alta</v>
      </c>
    </row>
    <row r="848" spans="1:24" ht="28.8" x14ac:dyDescent="0.3">
      <c r="A848" t="s">
        <v>214</v>
      </c>
      <c r="B848" s="15" t="s">
        <v>1177</v>
      </c>
      <c r="W848" s="151" t="s">
        <v>1202</v>
      </c>
      <c r="X848" s="64" t="str">
        <f>IF(X845=0,"Nula",IF(AND(X845&gt;=1,X845&lt;20),"Baja",IF(AND(X845&gt;=20,X845&lt;50),"Moderada","Alta")))</f>
        <v>Moderada</v>
      </c>
    </row>
    <row r="849" spans="1:24" x14ac:dyDescent="0.3">
      <c r="A849" t="s">
        <v>214</v>
      </c>
      <c r="B849" s="15" t="s">
        <v>1203</v>
      </c>
      <c r="W849" s="149" t="s">
        <v>1204</v>
      </c>
      <c r="X849" s="129">
        <v>863</v>
      </c>
    </row>
    <row r="850" spans="1:24" x14ac:dyDescent="0.3">
      <c r="A850" t="s">
        <v>214</v>
      </c>
      <c r="B850" s="15" t="s">
        <v>1203</v>
      </c>
      <c r="W850" s="149" t="s">
        <v>1205</v>
      </c>
      <c r="X850" s="129">
        <v>4277</v>
      </c>
    </row>
    <row r="851" spans="1:24" x14ac:dyDescent="0.3">
      <c r="A851" t="s">
        <v>214</v>
      </c>
      <c r="B851" s="15" t="s">
        <v>1203</v>
      </c>
      <c r="W851" s="149" t="s">
        <v>1206</v>
      </c>
      <c r="X851" s="129">
        <v>28</v>
      </c>
    </row>
    <row r="852" spans="1:24" x14ac:dyDescent="0.3">
      <c r="A852" t="s">
        <v>214</v>
      </c>
      <c r="B852" s="15" t="s">
        <v>1203</v>
      </c>
      <c r="W852" s="149" t="s">
        <v>1207</v>
      </c>
      <c r="X852" s="129">
        <v>650</v>
      </c>
    </row>
    <row r="853" spans="1:24" x14ac:dyDescent="0.3">
      <c r="A853" t="s">
        <v>214</v>
      </c>
      <c r="B853" s="15" t="s">
        <v>1203</v>
      </c>
      <c r="W853" s="149" t="s">
        <v>1208</v>
      </c>
      <c r="X853" s="129">
        <v>108</v>
      </c>
    </row>
    <row r="854" spans="1:24" x14ac:dyDescent="0.3">
      <c r="A854" t="s">
        <v>214</v>
      </c>
      <c r="B854" s="15" t="s">
        <v>1203</v>
      </c>
      <c r="W854" s="149" t="s">
        <v>1209</v>
      </c>
      <c r="X854" s="129">
        <v>1265</v>
      </c>
    </row>
    <row r="855" spans="1:24" x14ac:dyDescent="0.3">
      <c r="A855" t="s">
        <v>214</v>
      </c>
      <c r="B855" s="15" t="s">
        <v>1203</v>
      </c>
      <c r="W855" s="149" t="s">
        <v>1210</v>
      </c>
      <c r="X855" s="129">
        <v>72</v>
      </c>
    </row>
    <row r="856" spans="1:24" x14ac:dyDescent="0.3">
      <c r="A856" t="s">
        <v>214</v>
      </c>
      <c r="B856" s="15" t="s">
        <v>1203</v>
      </c>
      <c r="W856" s="149" t="s">
        <v>1211</v>
      </c>
      <c r="X856" s="129">
        <v>12626</v>
      </c>
    </row>
    <row r="857" spans="1:24" x14ac:dyDescent="0.3">
      <c r="A857" t="s">
        <v>214</v>
      </c>
      <c r="B857" s="15" t="s">
        <v>1203</v>
      </c>
      <c r="W857" s="149" t="s">
        <v>1212</v>
      </c>
      <c r="X857" s="129">
        <v>722</v>
      </c>
    </row>
    <row r="858" spans="1:24" x14ac:dyDescent="0.3">
      <c r="A858" t="s">
        <v>214</v>
      </c>
      <c r="B858" s="15" t="s">
        <v>1203</v>
      </c>
      <c r="W858" s="149" t="s">
        <v>1213</v>
      </c>
      <c r="X858" s="129">
        <v>5570</v>
      </c>
    </row>
    <row r="859" spans="1:24" x14ac:dyDescent="0.3">
      <c r="A859" t="s">
        <v>214</v>
      </c>
      <c r="B859" s="15" t="s">
        <v>1203</v>
      </c>
      <c r="W859" s="150" t="s">
        <v>1214</v>
      </c>
      <c r="X859" s="130">
        <f>X849+X851+X853+X855+X857</f>
        <v>1793</v>
      </c>
    </row>
    <row r="860" spans="1:24" x14ac:dyDescent="0.3">
      <c r="A860" t="s">
        <v>214</v>
      </c>
      <c r="B860" s="15" t="s">
        <v>1203</v>
      </c>
      <c r="W860" s="150" t="s">
        <v>1215</v>
      </c>
      <c r="X860" s="130">
        <f>X850+X852+X854+X856+X858</f>
        <v>24388</v>
      </c>
    </row>
    <row r="861" spans="1:24" x14ac:dyDescent="0.3">
      <c r="A861" t="s">
        <v>214</v>
      </c>
      <c r="B861" s="15" t="s">
        <v>1203</v>
      </c>
      <c r="W861" s="149" t="s">
        <v>1216</v>
      </c>
      <c r="X861" s="129">
        <v>25</v>
      </c>
    </row>
    <row r="862" spans="1:24" x14ac:dyDescent="0.3">
      <c r="A862" t="s">
        <v>214</v>
      </c>
      <c r="B862" s="15" t="s">
        <v>1203</v>
      </c>
      <c r="W862" s="149" t="s">
        <v>1217</v>
      </c>
      <c r="X862" s="129">
        <v>453</v>
      </c>
    </row>
    <row r="863" spans="1:24" x14ac:dyDescent="0.3">
      <c r="A863" t="s">
        <v>214</v>
      </c>
      <c r="B863" s="15" t="s">
        <v>1203</v>
      </c>
      <c r="W863" s="149" t="s">
        <v>1218</v>
      </c>
      <c r="X863" s="129">
        <v>1252</v>
      </c>
    </row>
    <row r="864" spans="1:24" x14ac:dyDescent="0.3">
      <c r="A864" t="s">
        <v>214</v>
      </c>
      <c r="B864" s="15" t="s">
        <v>1203</v>
      </c>
      <c r="W864" s="149" t="s">
        <v>1219</v>
      </c>
      <c r="X864" s="129">
        <v>4</v>
      </c>
    </row>
    <row r="865" spans="1:24" x14ac:dyDescent="0.3">
      <c r="A865" t="s">
        <v>214</v>
      </c>
      <c r="B865" s="15" t="s">
        <v>1203</v>
      </c>
      <c r="W865" s="149" t="s">
        <v>1220</v>
      </c>
      <c r="X865" s="129">
        <v>230</v>
      </c>
    </row>
    <row r="866" spans="1:24" x14ac:dyDescent="0.3">
      <c r="A866" t="s">
        <v>214</v>
      </c>
      <c r="B866" s="15" t="s">
        <v>1203</v>
      </c>
      <c r="W866" s="149" t="s">
        <v>1221</v>
      </c>
      <c r="X866" s="129">
        <v>150</v>
      </c>
    </row>
    <row r="867" spans="1:24" x14ac:dyDescent="0.3">
      <c r="A867" t="s">
        <v>214</v>
      </c>
      <c r="B867" s="15" t="s">
        <v>1203</v>
      </c>
      <c r="W867" s="149" t="s">
        <v>1222</v>
      </c>
      <c r="X867" s="129">
        <v>55</v>
      </c>
    </row>
    <row r="868" spans="1:24" x14ac:dyDescent="0.3">
      <c r="A868" t="s">
        <v>214</v>
      </c>
      <c r="B868" s="15" t="s">
        <v>1203</v>
      </c>
      <c r="W868" s="149" t="s">
        <v>1223</v>
      </c>
      <c r="X868" s="129">
        <v>1283</v>
      </c>
    </row>
    <row r="869" spans="1:24" x14ac:dyDescent="0.3">
      <c r="A869" t="s">
        <v>214</v>
      </c>
      <c r="B869" s="15" t="s">
        <v>1203</v>
      </c>
      <c r="W869" s="149" t="s">
        <v>1224</v>
      </c>
      <c r="X869" s="129">
        <v>3957</v>
      </c>
    </row>
    <row r="870" spans="1:24" x14ac:dyDescent="0.3">
      <c r="A870" t="s">
        <v>214</v>
      </c>
      <c r="B870" s="15" t="s">
        <v>1203</v>
      </c>
      <c r="W870" s="149" t="s">
        <v>1225</v>
      </c>
      <c r="X870" s="129">
        <v>22</v>
      </c>
    </row>
    <row r="871" spans="1:24" x14ac:dyDescent="0.3">
      <c r="A871" t="s">
        <v>214</v>
      </c>
      <c r="B871" s="15" t="s">
        <v>1203</v>
      </c>
      <c r="W871" s="149" t="s">
        <v>1226</v>
      </c>
      <c r="X871" s="129">
        <v>910</v>
      </c>
    </row>
    <row r="872" spans="1:24" x14ac:dyDescent="0.3">
      <c r="A872" t="s">
        <v>214</v>
      </c>
      <c r="B872" s="15" t="s">
        <v>1203</v>
      </c>
      <c r="W872" s="149" t="s">
        <v>1227</v>
      </c>
      <c r="X872" s="129">
        <v>2510</v>
      </c>
    </row>
    <row r="873" spans="1:24" x14ac:dyDescent="0.3">
      <c r="A873" t="s">
        <v>214</v>
      </c>
      <c r="B873" s="15" t="s">
        <v>1203</v>
      </c>
      <c r="W873" s="150" t="s">
        <v>1228</v>
      </c>
      <c r="X873" s="130">
        <f>X861+X864+X867+X870</f>
        <v>106</v>
      </c>
    </row>
    <row r="874" spans="1:24" x14ac:dyDescent="0.3">
      <c r="A874" t="s">
        <v>214</v>
      </c>
      <c r="B874" s="15" t="s">
        <v>1203</v>
      </c>
      <c r="W874" s="150" t="s">
        <v>1229</v>
      </c>
      <c r="X874" s="130">
        <f t="shared" ref="X874:X875" si="10">X862+X865+X868+X871</f>
        <v>2876</v>
      </c>
    </row>
    <row r="875" spans="1:24" x14ac:dyDescent="0.3">
      <c r="A875" t="s">
        <v>214</v>
      </c>
      <c r="B875" s="15" t="s">
        <v>1203</v>
      </c>
      <c r="W875" s="150" t="s">
        <v>1230</v>
      </c>
      <c r="X875" s="130">
        <f t="shared" si="10"/>
        <v>7869</v>
      </c>
    </row>
    <row r="876" spans="1:24" x14ac:dyDescent="0.3">
      <c r="A876" t="s">
        <v>214</v>
      </c>
      <c r="B876" s="15" t="s">
        <v>1203</v>
      </c>
      <c r="W876" s="151" t="s">
        <v>1231</v>
      </c>
      <c r="X876" s="65">
        <f>(X861/(X849+X851))*100</f>
        <v>2.8058361391694726</v>
      </c>
    </row>
    <row r="877" spans="1:24" x14ac:dyDescent="0.3">
      <c r="A877" t="s">
        <v>214</v>
      </c>
      <c r="B877" s="15" t="s">
        <v>1203</v>
      </c>
      <c r="W877" s="151" t="s">
        <v>1232</v>
      </c>
      <c r="X877" s="65">
        <f>(X864/X853)*100</f>
        <v>3.7037037037037033</v>
      </c>
    </row>
    <row r="878" spans="1:24" x14ac:dyDescent="0.3">
      <c r="A878" t="s">
        <v>214</v>
      </c>
      <c r="B878" s="15" t="s">
        <v>1203</v>
      </c>
      <c r="W878" s="151" t="s">
        <v>1233</v>
      </c>
      <c r="X878" s="65">
        <f>(X867/X855)*100</f>
        <v>76.388888888888886</v>
      </c>
    </row>
    <row r="879" spans="1:24" x14ac:dyDescent="0.3">
      <c r="A879" t="s">
        <v>214</v>
      </c>
      <c r="B879" s="15" t="s">
        <v>1203</v>
      </c>
      <c r="W879" s="151" t="s">
        <v>1234</v>
      </c>
      <c r="X879" s="65">
        <f>(X870/X857)*100</f>
        <v>3.0470914127423825</v>
      </c>
    </row>
    <row r="880" spans="1:24" x14ac:dyDescent="0.3">
      <c r="A880" t="s">
        <v>214</v>
      </c>
      <c r="B880" s="15" t="s">
        <v>1237</v>
      </c>
      <c r="W880" s="149" t="s">
        <v>1238</v>
      </c>
      <c r="X880" s="129">
        <v>28427</v>
      </c>
    </row>
    <row r="881" spans="1:25" x14ac:dyDescent="0.3">
      <c r="A881" t="s">
        <v>214</v>
      </c>
      <c r="B881" s="15" t="s">
        <v>1237</v>
      </c>
      <c r="W881" s="149" t="s">
        <v>1239</v>
      </c>
      <c r="X881" s="129">
        <v>20273</v>
      </c>
    </row>
    <row r="882" spans="1:25" x14ac:dyDescent="0.3">
      <c r="A882" t="s">
        <v>214</v>
      </c>
      <c r="B882" s="15" t="s">
        <v>1237</v>
      </c>
      <c r="W882" s="149" t="s">
        <v>1240</v>
      </c>
      <c r="X882" s="129">
        <v>6156</v>
      </c>
    </row>
    <row r="883" spans="1:25" x14ac:dyDescent="0.3">
      <c r="A883" t="s">
        <v>214</v>
      </c>
      <c r="B883" s="15" t="s">
        <v>1237</v>
      </c>
      <c r="W883" s="149" t="s">
        <v>1241</v>
      </c>
      <c r="X883" s="129">
        <v>5337</v>
      </c>
    </row>
    <row r="884" spans="1:25" x14ac:dyDescent="0.3">
      <c r="A884" t="s">
        <v>214</v>
      </c>
      <c r="B884" s="15" t="s">
        <v>1237</v>
      </c>
      <c r="W884" s="149" t="s">
        <v>1242</v>
      </c>
      <c r="X884" s="129">
        <v>63984</v>
      </c>
    </row>
    <row r="885" spans="1:25" x14ac:dyDescent="0.3">
      <c r="A885" t="s">
        <v>214</v>
      </c>
      <c r="B885" s="15" t="s">
        <v>1237</v>
      </c>
      <c r="W885" s="149" t="s">
        <v>1243</v>
      </c>
      <c r="X885" s="129">
        <v>69123</v>
      </c>
    </row>
    <row r="886" spans="1:25" x14ac:dyDescent="0.3">
      <c r="A886" t="s">
        <v>214</v>
      </c>
      <c r="B886" s="15" t="s">
        <v>1237</v>
      </c>
      <c r="W886" s="151" t="s">
        <v>1244</v>
      </c>
      <c r="X886" s="64">
        <f>((X881/X880)*100)-100</f>
        <v>-28.683997607907969</v>
      </c>
    </row>
    <row r="887" spans="1:25" x14ac:dyDescent="0.3">
      <c r="A887" t="s">
        <v>214</v>
      </c>
      <c r="B887" s="15" t="s">
        <v>1237</v>
      </c>
      <c r="W887" s="151" t="s">
        <v>1245</v>
      </c>
      <c r="X887" s="64">
        <f>(((X883/X882)*100)-100)</f>
        <v>-13.304093567251456</v>
      </c>
    </row>
    <row r="888" spans="1:25" x14ac:dyDescent="0.3">
      <c r="A888" t="s">
        <v>214</v>
      </c>
      <c r="B888" s="15" t="s">
        <v>1237</v>
      </c>
      <c r="W888" s="99" t="s">
        <v>1246</v>
      </c>
      <c r="X888" s="64">
        <f>(((X885/X884)*100)-100)</f>
        <v>8.0316954238559504</v>
      </c>
      <c r="Y888" s="152" t="str">
        <f>IF(X886="+",5,IF(X886="-",2,""))</f>
        <v/>
      </c>
    </row>
    <row r="889" spans="1:25" x14ac:dyDescent="0.3">
      <c r="A889" t="s">
        <v>222</v>
      </c>
      <c r="B889" s="15" t="s">
        <v>1248</v>
      </c>
      <c r="W889" s="129" t="s">
        <v>1249</v>
      </c>
      <c r="X889" s="129">
        <v>40168.660000000003</v>
      </c>
      <c r="Y889" s="152" t="str">
        <f>IF(X888="+",2,IF(X888="-",5,""))</f>
        <v/>
      </c>
    </row>
    <row r="890" spans="1:25" x14ac:dyDescent="0.3">
      <c r="A890" t="s">
        <v>222</v>
      </c>
      <c r="B890" s="15" t="s">
        <v>1248</v>
      </c>
      <c r="W890" s="129" t="s">
        <v>1250</v>
      </c>
      <c r="X890" s="129">
        <v>19862.490000000002</v>
      </c>
    </row>
    <row r="891" spans="1:25" x14ac:dyDescent="0.3">
      <c r="A891" t="s">
        <v>222</v>
      </c>
      <c r="B891" s="15" t="s">
        <v>1248</v>
      </c>
      <c r="W891" s="129" t="s">
        <v>1251</v>
      </c>
      <c r="X891" s="129">
        <v>60029.17</v>
      </c>
    </row>
    <row r="892" spans="1:25" x14ac:dyDescent="0.3">
      <c r="A892" t="s">
        <v>222</v>
      </c>
      <c r="B892" s="15" t="s">
        <v>1248</v>
      </c>
      <c r="W892" s="129" t="s">
        <v>1252</v>
      </c>
      <c r="X892">
        <v>34396.639999999999</v>
      </c>
    </row>
    <row r="893" spans="1:25" x14ac:dyDescent="0.3">
      <c r="A893" t="s">
        <v>222</v>
      </c>
      <c r="B893" s="15" t="s">
        <v>1248</v>
      </c>
      <c r="W893" s="129" t="s">
        <v>1253</v>
      </c>
      <c r="X893">
        <v>17263.189999999999</v>
      </c>
    </row>
    <row r="894" spans="1:25" x14ac:dyDescent="0.3">
      <c r="A894" t="s">
        <v>222</v>
      </c>
      <c r="B894" s="15" t="s">
        <v>1248</v>
      </c>
      <c r="W894" s="129" t="s">
        <v>1254</v>
      </c>
      <c r="X894">
        <v>51659.83</v>
      </c>
    </row>
    <row r="895" spans="1:25" x14ac:dyDescent="0.3">
      <c r="A895" t="s">
        <v>222</v>
      </c>
      <c r="B895" s="15" t="s">
        <v>1256</v>
      </c>
      <c r="W895" s="129" t="s">
        <v>1258</v>
      </c>
      <c r="X895">
        <v>8423829</v>
      </c>
    </row>
    <row r="896" spans="1:25" x14ac:dyDescent="0.3">
      <c r="A896" t="s">
        <v>222</v>
      </c>
      <c r="B896" s="15" t="s">
        <v>1256</v>
      </c>
      <c r="W896" s="129" t="s">
        <v>1257</v>
      </c>
      <c r="X896">
        <v>8738339</v>
      </c>
    </row>
    <row r="897" spans="1:24" x14ac:dyDescent="0.3">
      <c r="A897" t="s">
        <v>222</v>
      </c>
      <c r="B897" t="s">
        <v>1259</v>
      </c>
      <c r="W897" s="129" t="s">
        <v>1260</v>
      </c>
      <c r="X897">
        <v>18798.913</v>
      </c>
    </row>
    <row r="898" spans="1:24" x14ac:dyDescent="0.3">
      <c r="A898" t="s">
        <v>222</v>
      </c>
      <c r="B898" t="s">
        <v>1259</v>
      </c>
      <c r="W898" s="129" t="s">
        <v>1261</v>
      </c>
      <c r="X898">
        <v>1371.394</v>
      </c>
    </row>
    <row r="899" spans="1:24" x14ac:dyDescent="0.3">
      <c r="A899" t="s">
        <v>222</v>
      </c>
      <c r="B899" t="s">
        <v>1259</v>
      </c>
      <c r="W899" s="153" t="s">
        <v>1264</v>
      </c>
      <c r="X899" s="64">
        <f>((X897-X898)/X897)*100</f>
        <v>92.704929269048691</v>
      </c>
    </row>
    <row r="900" spans="1:24" x14ac:dyDescent="0.3">
      <c r="A900" t="s">
        <v>222</v>
      </c>
      <c r="B900" t="s">
        <v>1259</v>
      </c>
      <c r="W900" t="s">
        <v>1265</v>
      </c>
      <c r="X900" s="154">
        <v>93.108000000000004</v>
      </c>
    </row>
    <row r="901" spans="1:24" x14ac:dyDescent="0.3">
      <c r="A901" t="s">
        <v>222</v>
      </c>
      <c r="B901" t="s">
        <v>1263</v>
      </c>
      <c r="W901" s="129" t="s">
        <v>1266</v>
      </c>
      <c r="X901">
        <v>6</v>
      </c>
    </row>
    <row r="902" spans="1:24" x14ac:dyDescent="0.3">
      <c r="A902" t="s">
        <v>222</v>
      </c>
      <c r="B902" t="s">
        <v>1263</v>
      </c>
      <c r="W902" t="s">
        <v>1267</v>
      </c>
      <c r="X902">
        <v>11</v>
      </c>
    </row>
  </sheetData>
  <mergeCells count="4">
    <mergeCell ref="U1:X1"/>
    <mergeCell ref="A1:G1"/>
    <mergeCell ref="H1:N1"/>
    <mergeCell ref="O1:T1"/>
  </mergeCells>
  <phoneticPr fontId="14" type="noConversion"/>
  <dataValidations count="12">
    <dataValidation type="list" allowBlank="1" showInputMessage="1" showErrorMessage="1" sqref="U4:U86 U247:U693" xr:uid="{9057CC9A-B26B-4B5C-902B-ACBCAE1E71C1}">
      <formula1>"Cuantitativo,Cualitativo"</formula1>
    </dataValidation>
    <dataValidation type="list" allowBlank="1" showInputMessage="1" showErrorMessage="1" sqref="V4:V86 V247:V693" xr:uid="{936D258D-5582-4480-B5F8-E49E1DE84492}">
      <formula1>"Entero (Integer int), Flotante (Float  Double), Booleano (Boolean bool), Carácter (Characterchar), Cadena de texto (String str)."</formula1>
    </dataValidation>
    <dataValidation type="list" allowBlank="1" showInputMessage="1" showErrorMessage="1" sqref="X10" xr:uid="{9F133351-5C6C-4247-BA22-55DC4420AA82}">
      <formula1>"Si,No"</formula1>
    </dataValidation>
    <dataValidation type="list" allowBlank="1" showInputMessage="1" showErrorMessage="1" sqref="B35:B86 B681:B700" xr:uid="{62FAE838-9352-49AF-8C18-87B14671DB3C}">
      <formula1>INDIRECT(A35)</formula1>
    </dataValidation>
    <dataValidation type="list" allowBlank="1" showInputMessage="1" showErrorMessage="1" sqref="X19" xr:uid="{18A18869-6D8C-4A37-A7E5-329E701B5619}">
      <formula1>"Alta,Baja"</formula1>
    </dataValidation>
    <dataValidation type="list" allowBlank="1" showInputMessage="1" showErrorMessage="1" sqref="X30" xr:uid="{1871F0B1-BC9D-4F79-B4B1-B0D786A710BB}">
      <formula1>"Muy alto, Alto,Bajo,Muy bajo "</formula1>
    </dataValidation>
    <dataValidation type="list" allowBlank="1" showInputMessage="1" showErrorMessage="1" sqref="B35:B86 B247:B252" xr:uid="{15BCAE93-6C4E-4C17-B184-A0E8BA29C3B5}">
      <formula1>INDIRECT($A$247)</formula1>
    </dataValidation>
    <dataValidation type="list" allowBlank="1" showInputMessage="1" showErrorMessage="1" sqref="E4:E86 E247:E693" xr:uid="{62CBF648-2F95-4145-8234-D07A87E388DF}">
      <formula1>"Anual,Semestral,Trimestral,Mensual,Diario,Otra"</formula1>
    </dataValidation>
    <dataValidation type="list" allowBlank="1" showInputMessage="1" showErrorMessage="1" sqref="F4:F86 F247:F693" xr:uid="{18830716-0ED4-4EF1-87B3-56942BCD3BF6}">
      <formula1>"Nacional,Departamental,Municipal,Otra"</formula1>
    </dataValidation>
    <dataValidation type="list" allowBlank="1" showInputMessage="1" showErrorMessage="1" sqref="C4:C86 C247:C693" xr:uid="{F3C69E26-9DA2-4E14-B041-ADA902E52FE9}">
      <formula1>subsector</formula1>
    </dataValidation>
    <dataValidation type="list" allowBlank="1" showInputMessage="1" showErrorMessage="1" sqref="Q4:Q86 N4:N86 N247 Q247:Q680" xr:uid="{CD805269-F37C-4D0A-A58E-BFC03A894B5E}">
      <formula1>"Creacion, Publicacion, Revision,Vencimineto,Ultima actuliazaciòn,Proxima actualizacion,ùlyima actualizacion, No disponible, Rn vigor, Adaoptado,Desfasado,Sustituido,Comienzo de validez, Liberado,Distribuciòn"</formula1>
    </dataValidation>
    <dataValidation type="list" allowBlank="1" showInputMessage="1" showErrorMessage="1" sqref="A4:A700" xr:uid="{3E023E10-77A4-4F6E-AA50-BA31A060495E}">
      <formula1>Dimensiones</formula1>
    </dataValidation>
  </dataValidations>
  <hyperlinks>
    <hyperlink ref="L4" r:id="rId1" display="../../../:w:/g/personal/ancasallas_minenergia_gov_co/EZlPLBjzWCdGi1JX_D2NUaUBIRpxWJlCZYtTNlIUDkJySA?e=LcKHxM" xr:uid="{8A1CB7E8-9AA2-4D7B-A3A9-B7BF35E5E14E}"/>
    <hyperlink ref="L5" r:id="rId2" display="../../../:w:/g/personal/ancasallas_minenergia_gov_co/EZlPLBjzWCdGi1JX_D2NUaUBIRpxWJlCZYtTNlIUDkJySA?e=LcKHxM" xr:uid="{5C4DC972-E4C8-4975-8BF3-58A3A642F51F}"/>
    <hyperlink ref="L6" r:id="rId3" display="../../../:w:/g/personal/ancasallas_minenergia_gov_co/EZlPLBjzWCdGi1JX_D2NUaUBIRpxWJlCZYtTNlIUDkJySA?e=LcKHxM" xr:uid="{221B523C-DE7D-4D7F-A224-F57DF8AA29CF}"/>
    <hyperlink ref="L7" r:id="rId4" display="../../../:w:/g/personal/ancasallas_minenergia_gov_co/EZlPLBjzWCdGi1JX_D2NUaUBIRpxWJlCZYtTNlIUDkJySA?e=LcKHxM" xr:uid="{EF628526-1B35-4ABF-853B-C69085DB1B9D}"/>
    <hyperlink ref="L10" r:id="rId5" display="../../../:w:/g/personal/ancasallas_minenergia_gov_co/EZlPLBjzWCdGi1JX_D2NUaUBIRpxWJlCZYtTNlIUDkJySA?e=LcKHxM" xr:uid="{B844E298-CED1-44C5-965C-EC200F9BF347}"/>
    <hyperlink ref="S4" r:id="rId6" display="https://www.minenergia.gov.co/es/misional/gesti%C3%B3n-social-y-ambiental/derechos-humanos/" xr:uid="{CBA80F6E-1BFF-458C-8C0A-739E2544AAFF}"/>
    <hyperlink ref="S8" r:id="rId7" display="https://www.minenergia.gov.co/es/misional/gesti%C3%B3n-social-y-ambiental/derechos-humanos/" xr:uid="{F0EDD5C6-1554-4966-AB70-05E63AED4664}"/>
    <hyperlink ref="S10" r:id="rId8" display="https://www.minenergia.gov.co/es/ministerio/gestión/presupuesto/presupuesto-general-asignado/  Tabla 12. Revisión asignaciones presupuestales  Producto E: Documento técnico que contenga la metodología ajustada y validada para la definición y estimación de los indicadores de gobernanza ambiental del sector minero energético y el desarrollo metodológico para el cálculo de los indicadores de gobernanza para el año 2023. " xr:uid="{C8CBB097-1943-4C86-B138-3264EC2984CC}"/>
    <hyperlink ref="L9" r:id="rId9" display="../../../:w:/g/personal/ancasallas_minenergia_gov_co/EZlPLBjzWCdGi1JX_D2NUaUBIRpxWJlCZYtTNlIUDkJySA?e=LcKHxM" xr:uid="{C61903AB-D0D7-4944-9EDC-4B5D9ED19582}"/>
    <hyperlink ref="L8" r:id="rId10" display="../../../:w:/g/personal/ancasallas_minenergia_gov_co/EZlPLBjzWCdGi1JX_D2NUaUBIRpxWJlCZYtTNlIUDkJySA?e=LcKHxM" xr:uid="{55387EFB-3858-4247-8A32-FB1B26FD3D2B}"/>
    <hyperlink ref="S11" r:id="rId11" display="https://alertastempranas.defensoria.gov.co/Alerta/Tablero" xr:uid="{D3639532-8AAE-457F-A9E8-D8D56D390C2A}"/>
  </hyperlinks>
  <pageMargins left="0.7" right="0.7" top="0.75" bottom="0.75" header="0.3" footer="0.3"/>
  <ignoredErrors>
    <ignoredError sqref="X69 X63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39422-3F16-4168-80A1-08E16FFB2068}">
  <dimension ref="A1:G74"/>
  <sheetViews>
    <sheetView topLeftCell="A30" zoomScale="85" zoomScaleNormal="85" workbookViewId="0">
      <selection activeCell="A33" sqref="A33"/>
    </sheetView>
  </sheetViews>
  <sheetFormatPr baseColWidth="10" defaultRowHeight="14.4" x14ac:dyDescent="0.3"/>
  <cols>
    <col min="2" max="2" width="67.44140625" customWidth="1"/>
    <col min="3" max="3" width="43.6640625" customWidth="1"/>
    <col min="4" max="4" width="26.88671875" customWidth="1"/>
    <col min="5" max="5" width="25.33203125" customWidth="1"/>
    <col min="6" max="6" width="31.33203125" customWidth="1"/>
  </cols>
  <sheetData>
    <row r="1" spans="1:7" x14ac:dyDescent="0.3">
      <c r="D1" s="158"/>
      <c r="E1" s="158"/>
      <c r="F1" s="158"/>
      <c r="G1" s="158"/>
    </row>
    <row r="2" spans="1:7" ht="66" x14ac:dyDescent="0.3">
      <c r="A2" s="21" t="s">
        <v>133</v>
      </c>
      <c r="B2" s="2" t="s">
        <v>131</v>
      </c>
      <c r="C2" s="40" t="s">
        <v>33</v>
      </c>
      <c r="D2" s="2" t="s">
        <v>24</v>
      </c>
      <c r="E2" s="2" t="s">
        <v>25</v>
      </c>
      <c r="F2" s="2" t="s">
        <v>132</v>
      </c>
      <c r="G2" s="2" t="s">
        <v>26</v>
      </c>
    </row>
    <row r="3" spans="1:7" ht="100.2" customHeight="1" x14ac:dyDescent="0.3">
      <c r="A3" s="41">
        <v>1</v>
      </c>
      <c r="B3" s="15" t="s">
        <v>317</v>
      </c>
      <c r="C3" s="15" t="s">
        <v>316</v>
      </c>
      <c r="D3" s="16">
        <f>IF(Variable_indicador!X6&gt;=80,5,
IF(Variable_indicador!X6&gt;=60,3.75,
IF(Variable_indicador!X6&gt;=40,2.5,
IF(Variable_indicador!X6&gt;=20,1.25,
0))))+IF(Variable_indicador!X9&gt;80,12,
IF(Variable_indicador!X9&gt;60,9,
IF(Variable_indicador!X9&gt;40,6,
IF(Variable_indicador!X9&gt;20,3,
0))))+IF(Variable_indicador!X10="Si", 4, 0)</f>
        <v>7.75</v>
      </c>
      <c r="E3" s="7" t="s">
        <v>62</v>
      </c>
      <c r="F3" s="15" t="s">
        <v>315</v>
      </c>
      <c r="G3" s="89">
        <f t="shared" ref="G3:G10" si="0">D3</f>
        <v>7.75</v>
      </c>
    </row>
    <row r="4" spans="1:7" ht="100.2" customHeight="1" x14ac:dyDescent="0.3">
      <c r="A4" s="41">
        <v>2</v>
      </c>
      <c r="B4" s="15" t="s">
        <v>148</v>
      </c>
      <c r="C4" s="15"/>
      <c r="D4" s="16">
        <f>IF(Variable_indicador!X13&lt;=20,1.4,IF(Variable_indicador!X13&lt;=40,2.8,IF(Variable_indicador!X13&lt;=60,4.2,IF(Variable_indicador!X13&lt;=80,5.6,7))))+IF(Variable_indicador!X15&lt;=20,1.4,IF(Variable_indicador!X15&lt;=40,2.8,IF(Variable_indicador!X15&lt;=60,4.2,IF(Variable_indicador!X15&lt;=80,5.6,7))))</f>
        <v>2.8</v>
      </c>
      <c r="E4" s="7"/>
      <c r="F4" s="15" t="s">
        <v>344</v>
      </c>
      <c r="G4" s="89">
        <f t="shared" si="0"/>
        <v>2.8</v>
      </c>
    </row>
    <row r="5" spans="1:7" ht="100.2" customHeight="1" x14ac:dyDescent="0.3">
      <c r="A5" s="41">
        <v>3</v>
      </c>
      <c r="B5" s="15" t="s">
        <v>349</v>
      </c>
      <c r="C5" s="15"/>
      <c r="D5" s="16">
        <f>IF(Variable_indicador!X18&lt;=20,0,IF(Variable_indicador!X18&lt;=40,5.3,IF(Variable_indicador!X18&lt;=60,10.5,IF(Variable_indicador!X18&lt;=80,15.3,21))))</f>
        <v>15.3</v>
      </c>
      <c r="E5" s="7"/>
      <c r="F5" s="15" t="s">
        <v>350</v>
      </c>
      <c r="G5" s="89">
        <f t="shared" si="0"/>
        <v>15.3</v>
      </c>
    </row>
    <row r="6" spans="1:7" ht="100.2" customHeight="1" x14ac:dyDescent="0.3">
      <c r="A6" s="41">
        <v>4</v>
      </c>
      <c r="B6" s="15" t="s">
        <v>152</v>
      </c>
      <c r="C6" s="15"/>
      <c r="D6" s="16">
        <f>IF(Variable_indicador!X19="Alta", 5, IF(Variable_indicador!X19="Baja", 0, ""))+IF(Variable_indicador!X22&lt;=20,1,IF(Variable_indicador!X22&lt;=40,5.3,IF(Variable_indicador!X22&lt;=60,7,IF(Variable_indicador!X22&lt;=80,10.5,14))))</f>
        <v>1</v>
      </c>
      <c r="E6" s="7"/>
      <c r="F6" s="15" t="s">
        <v>358</v>
      </c>
      <c r="G6" s="89">
        <f t="shared" si="0"/>
        <v>1</v>
      </c>
    </row>
    <row r="7" spans="1:7" ht="100.2" customHeight="1" x14ac:dyDescent="0.3">
      <c r="A7" s="41">
        <v>5</v>
      </c>
      <c r="B7" s="15" t="s">
        <v>363</v>
      </c>
      <c r="C7" s="15"/>
      <c r="D7" s="16">
        <f>IF(Variable_indicador!X25&lt;=20,1,IF(Variable_indicador!X25&lt;=40,5.3,IF(Variable_indicador!X25&lt;=60,10.5,IF(Variable_indicador!X23&lt;=80,15.3,21))))</f>
        <v>15.3</v>
      </c>
      <c r="E7" s="7"/>
      <c r="F7" s="15" t="s">
        <v>364</v>
      </c>
      <c r="G7" s="89">
        <f t="shared" si="0"/>
        <v>15.3</v>
      </c>
    </row>
    <row r="8" spans="1:7" ht="100.2" customHeight="1" x14ac:dyDescent="0.3">
      <c r="A8" s="41">
        <v>6</v>
      </c>
      <c r="B8" s="15" t="s">
        <v>371</v>
      </c>
      <c r="C8" s="15"/>
      <c r="D8" s="16">
        <f>IF(Variable_indicador!X29&lt;=20,4.2,IF(Variable_indicador!X29&lt;=40,8.4,IF(Variable_indicador!X29&lt;=60,12.6,IF(Variable_indicador!X29&lt;=80,18.6,21))))</f>
        <v>4.2</v>
      </c>
      <c r="E8" s="7"/>
      <c r="F8" s="15" t="s">
        <v>372</v>
      </c>
      <c r="G8" s="89">
        <f t="shared" si="0"/>
        <v>4.2</v>
      </c>
    </row>
    <row r="9" spans="1:7" ht="100.2" customHeight="1" x14ac:dyDescent="0.3">
      <c r="A9" s="41">
        <v>7</v>
      </c>
      <c r="B9" s="15" t="s">
        <v>378</v>
      </c>
      <c r="C9" s="15"/>
      <c r="D9" s="17">
        <f>IF(Variable_indicador!X30="Muy alto", 4, IF(Variable_indicador!X30="Alto", 3, IF(Variable_indicador!X30="Bajo", 2, IF(Variable_indicador!X30="Muy bajo", 1, ""))))+IF(Variable_indicador!X31&lt;=20,1,IF(Variable_indicador!X31&lt;=40,4,IF(Variable_indicador!X31&lt;=60,7.5,IF(Variable_indicador!X31&lt;=80,11,15))))</f>
        <v>4</v>
      </c>
      <c r="E9" s="7"/>
      <c r="F9" s="15" t="s">
        <v>377</v>
      </c>
      <c r="G9" s="90">
        <f t="shared" si="0"/>
        <v>4</v>
      </c>
    </row>
    <row r="10" spans="1:7" ht="100.2" customHeight="1" x14ac:dyDescent="0.3">
      <c r="A10" s="41">
        <v>8</v>
      </c>
      <c r="B10" s="15" t="s">
        <v>380</v>
      </c>
      <c r="C10" s="15"/>
      <c r="D10" s="16">
        <f>IF(Variable_indicador!X31&lt;=20,2,IF(Variable_indicador!X31&lt;=40,4.25,IF(Variable_indicador!X31&lt;=60,8.5,IF(Variable_indicador!X31&lt;=80,12.3,19))))</f>
        <v>2</v>
      </c>
      <c r="E10" s="7"/>
      <c r="F10" s="15" t="s">
        <v>384</v>
      </c>
      <c r="G10" s="89">
        <f t="shared" si="0"/>
        <v>2</v>
      </c>
    </row>
    <row r="11" spans="1:7" ht="28.8" x14ac:dyDescent="0.3">
      <c r="A11" s="62">
        <v>9</v>
      </c>
      <c r="B11" s="63" t="s">
        <v>385</v>
      </c>
      <c r="C11" s="62"/>
      <c r="D11" s="74">
        <f>((Variable_indicador!X35/Variable_indicador!$X$40)*Variable_indicador!X41)*100+((Variable_indicador!X36/Variable_indicador!$X$40)*Variable_indicador!X42)*100+((Variable_indicador!X37/Variable_indicador!$X$40)*Variable_indicador!X43)*100+((Variable_indicador!X38/Variable_indicador!$X$40)*Variable_indicador!X44)*100+((Variable_indicador!X39/Variable_indicador!$X$40)*Variable_indicador!X45)*100</f>
        <v>84.899371334542849</v>
      </c>
      <c r="E11" s="75" t="s">
        <v>62</v>
      </c>
      <c r="F11" s="76" t="s">
        <v>386</v>
      </c>
      <c r="G11" s="77">
        <f>IF(D11&gt;=90,24,
 IF(D11&gt;=75,19,
 IF(D11&gt;=50,15,
 IF(D11&gt;=30,8,
 5))))</f>
        <v>19</v>
      </c>
    </row>
    <row r="12" spans="1:7" ht="43.2" x14ac:dyDescent="0.3">
      <c r="A12" s="62">
        <v>10</v>
      </c>
      <c r="B12" s="63" t="s">
        <v>165</v>
      </c>
      <c r="C12" s="62"/>
      <c r="D12" s="78">
        <f>(Variable_indicador!X72+Variable_indicador!X73+Variable_indicador!X74+Variable_indicador!X75+Variable_indicador!X76+Variable_indicador!X77)/6</f>
        <v>27.625028755463532</v>
      </c>
      <c r="E12" s="79" t="s">
        <v>62</v>
      </c>
      <c r="F12" s="76" t="s">
        <v>405</v>
      </c>
      <c r="G12" s="77">
        <f>IF(D12&gt;40,19,
   IF(D12&gt;25,15,
   IF(D12&gt;10,12,
   IF(AND(D12&gt;=-10,D12&lt;=10),10,
   IF(AND(D12&gt;=-25,D12&lt;-10),8,"")))))</f>
        <v>15</v>
      </c>
    </row>
    <row r="13" spans="1:7" ht="28.8" x14ac:dyDescent="0.3">
      <c r="A13" s="62">
        <v>11</v>
      </c>
      <c r="B13" s="63" t="s">
        <v>406</v>
      </c>
      <c r="C13" s="62"/>
      <c r="D13" s="78">
        <f>((Variable_indicador!X78+Variable_indicador!X79+Variable_indicador!X80)/Variable_indicador!X82)*100</f>
        <v>35.251798561151077</v>
      </c>
      <c r="E13" s="82" t="s">
        <v>62</v>
      </c>
      <c r="F13" s="76" t="s">
        <v>407</v>
      </c>
      <c r="G13" s="77">
        <f>IF(D13&lt;=9.99,24,
 IF(D13&lt;=24.99,21,
 IF(D13&lt;=49.99,18,
 IF(D13&lt;=74.99,12,
 6))))</f>
        <v>18</v>
      </c>
    </row>
    <row r="14" spans="1:7" ht="28.8" x14ac:dyDescent="0.3">
      <c r="A14">
        <v>12</v>
      </c>
      <c r="B14" s="15" t="s">
        <v>169</v>
      </c>
      <c r="D14" s="17">
        <f>(Variable_indicador!X83+Variable_indicador!X84+Variable_indicador!X85+Variable_indicador!X86)/4</f>
        <v>94.3125</v>
      </c>
      <c r="E14" s="7" t="s">
        <v>62</v>
      </c>
      <c r="F14" s="81" t="s">
        <v>412</v>
      </c>
      <c r="G14" s="16">
        <f>IF(D14&gt;=95, 22, IF(D14&gt;=90, 16, IF(D14&gt;75, 10, IF(D14&gt;=70, 5, ""))))</f>
        <v>16</v>
      </c>
    </row>
    <row r="15" spans="1:7" ht="28.8" x14ac:dyDescent="0.3">
      <c r="A15">
        <v>13</v>
      </c>
      <c r="B15" s="15" t="s">
        <v>172</v>
      </c>
      <c r="D15" s="17">
        <f>Variable_indicador!X99+Variable_indicador!X100+Variable_indicador!X101</f>
        <v>1507.5000000000002</v>
      </c>
      <c r="E15" s="7" t="s">
        <v>62</v>
      </c>
      <c r="F15" s="81" t="s">
        <v>430</v>
      </c>
      <c r="G15" s="16">
        <f>IF(D15&gt;0, 17, 8)</f>
        <v>17</v>
      </c>
    </row>
    <row r="16" spans="1:7" x14ac:dyDescent="0.3">
      <c r="A16">
        <v>14</v>
      </c>
      <c r="B16" t="s">
        <v>441</v>
      </c>
      <c r="D16" s="83">
        <f>Variable_indicador!X108+Variable_indicador!X109+Variable_indicador!X110</f>
        <v>39.60000000000003</v>
      </c>
      <c r="G16" s="16">
        <f>IF(D16&gt;0, 17, 8)</f>
        <v>17</v>
      </c>
    </row>
    <row r="17" spans="1:7" ht="43.2" x14ac:dyDescent="0.3">
      <c r="A17">
        <v>15</v>
      </c>
      <c r="B17" t="s">
        <v>464</v>
      </c>
      <c r="D17" s="83">
        <f>SUM(Variable_indicador!X123:X131)</f>
        <v>2975.8630922734742</v>
      </c>
      <c r="F17" s="15" t="s">
        <v>512</v>
      </c>
      <c r="G17">
        <f>IF(COUNTIF(Variable_indicador!X123:X131,"&gt;0")=9,19,
 IF(COUNTIF(Variable_indicador!X123:X131,"&gt;0")=6,14.25,
  IF(COUNTIF(Variable_indicador!X123:X131,"&lt;0")=6,9.5,
   IF(COUNTIF(Variable_indicador!X123:X1855,"&lt;0")=9,4.75)
  )
 )
)</f>
        <v>9.5</v>
      </c>
    </row>
    <row r="18" spans="1:7" ht="57.6" x14ac:dyDescent="0.3">
      <c r="A18">
        <v>16</v>
      </c>
      <c r="B18" s="15" t="s">
        <v>175</v>
      </c>
      <c r="D18" s="13">
        <f>(Variable_indicador!X175+Variable_indicador!X178+Variable_indicador!X179)/3</f>
        <v>43.950025930740956</v>
      </c>
      <c r="E18" s="7"/>
      <c r="F18" s="14" t="s">
        <v>511</v>
      </c>
      <c r="G18" s="11">
        <f>_xlfn.IFS(D18&gt;=76,4.75,D18&gt;=51,9.5,D18&gt;=26,14.25,D18&gt;=0,19)</f>
        <v>14.25</v>
      </c>
    </row>
    <row r="19" spans="1:7" ht="72" x14ac:dyDescent="0.3">
      <c r="A19">
        <v>17</v>
      </c>
      <c r="B19" s="15" t="s">
        <v>591</v>
      </c>
      <c r="D19" s="13">
        <f>(Variable_indicador!X210+Variable_indicador!X213+Variable_indicador!X216)/3</f>
        <v>34.475552173836057</v>
      </c>
      <c r="E19" s="7"/>
      <c r="F19" s="14" t="s">
        <v>553</v>
      </c>
      <c r="G19" s="11">
        <f>_xlfn.IFS(D19&gt;=51,5,D19&gt;=21,10,D19&lt;20,19)</f>
        <v>10</v>
      </c>
    </row>
    <row r="20" spans="1:7" ht="57.6" x14ac:dyDescent="0.3">
      <c r="A20">
        <v>18</v>
      </c>
      <c r="B20" s="15" t="s">
        <v>587</v>
      </c>
      <c r="D20" s="83">
        <f>(Variable_indicador!X244+Variable_indicador!X245+Variable_indicador!X246)/3</f>
        <v>56.339554681991935</v>
      </c>
      <c r="E20" s="7"/>
      <c r="F20" s="14" t="s">
        <v>586</v>
      </c>
      <c r="G20" s="12">
        <f>IF(Variable_indicador!X244&lt;=-30,7,IF(AND(Variable_indicador!X244&gt;-30,Variable_indicador!X244&lt;0),4,IF(AND(Variable_indicador!X244&gt;=0,Variable_indicador!X244&lt;30),2,IF(Variable_indicador!X244&gt;=30,1))))+IF(Variable_indicador!X245&lt;=-30,7,IF(AND(Variable_indicador!X245&gt;-30,Variable_indicador!X245&lt;0),4,IF(AND(Variable_indicador!X245&gt;=0,Variable_indicador!X245&lt;30),2,IF(Variable_indicador!X245&gt;=30,1))))+ IF(Variable_indicador!X246&lt;=-30,7,IF(AND(Variable_indicador!X246&gt;-30,Variable_indicador!X246&lt;0),4,IF(AND(Variable_indicador!X246&gt;=0,Variable_indicador!X246&lt;30),2,IF(Variable_indicador!X246&gt;=30,1))))</f>
        <v>4</v>
      </c>
    </row>
    <row r="21" spans="1:7" ht="28.8" x14ac:dyDescent="0.3">
      <c r="A21">
        <v>19</v>
      </c>
      <c r="B21" s="15" t="s">
        <v>181</v>
      </c>
      <c r="D21" s="18">
        <f>((Variable_indicador!X247+Variable_indicador!X249+Variable_indicador!X251)/(Variable_indicador!X248+Variable_indicador!X250+Variable_indicador!X252))*100</f>
        <v>64.285714285714292</v>
      </c>
      <c r="E21" s="7" t="s">
        <v>62</v>
      </c>
      <c r="F21" s="81" t="s">
        <v>590</v>
      </c>
      <c r="G21" s="19">
        <f>IF(D21&gt;75,19,IF(D21&gt;50,12,IF(D21&gt;25,7,IF(D21&gt;=0,3,""))))</f>
        <v>12</v>
      </c>
    </row>
    <row r="22" spans="1:7" ht="43.2" x14ac:dyDescent="0.3">
      <c r="A22">
        <v>20</v>
      </c>
      <c r="B22" s="15" t="s">
        <v>600</v>
      </c>
      <c r="D22">
        <f>((Variable_indicador!X253+Variable_indicador!X254+Variable_indicador!X255)/(Variable_indicador!X256+Variable_indicador!X257+Variable_indicador!X258))*100</f>
        <v>0</v>
      </c>
      <c r="F22" s="14" t="s">
        <v>599</v>
      </c>
      <c r="G22">
        <f>IF(D22&lt;=25,17,IF(D22&lt;=50,13,IF(D22&lt;=75,8,3)))</f>
        <v>17</v>
      </c>
    </row>
    <row r="23" spans="1:7" ht="28.8" x14ac:dyDescent="0.3">
      <c r="A23">
        <v>21</v>
      </c>
      <c r="B23" s="15" t="s">
        <v>776</v>
      </c>
      <c r="D23" s="83">
        <f>Variable_indicador!X421</f>
        <v>-1.0436079016026745</v>
      </c>
      <c r="E23" s="7"/>
      <c r="F23" s="14" t="s">
        <v>775</v>
      </c>
      <c r="G23">
        <f>IF(D23&gt;10,7,IF(D23&gt;0,12,IF(D23&gt;=-5,17,22)))</f>
        <v>17</v>
      </c>
    </row>
    <row r="24" spans="1:7" ht="43.2" x14ac:dyDescent="0.3">
      <c r="A24">
        <v>22</v>
      </c>
      <c r="B24" s="15" t="s">
        <v>866</v>
      </c>
      <c r="D24" s="7">
        <f>((Variable_indicador!X491-Variable_indicador!X490)/Variable_indicador!X491)*100</f>
        <v>-96.196899958972139</v>
      </c>
      <c r="E24" s="7"/>
      <c r="F24" s="14" t="s">
        <v>839</v>
      </c>
      <c r="G24" s="11">
        <f>IF(D24&lt;0,6,IF(D24&lt;=20%,11,IF(D24&lt;=30%,16,21)))</f>
        <v>6</v>
      </c>
    </row>
    <row r="25" spans="1:7" x14ac:dyDescent="0.3">
      <c r="A25" s="124">
        <v>23</v>
      </c>
      <c r="B25" s="124"/>
      <c r="C25" s="124"/>
      <c r="D25" s="125"/>
      <c r="E25" s="126"/>
      <c r="F25" s="127"/>
      <c r="G25" s="128"/>
    </row>
    <row r="26" spans="1:7" ht="28.8" x14ac:dyDescent="0.3">
      <c r="A26">
        <v>24</v>
      </c>
      <c r="B26" s="15" t="s">
        <v>867</v>
      </c>
      <c r="D26" s="12">
        <f>Variable_indicador!X543/Variable_indicador!X544</f>
        <v>2.7293082133838387</v>
      </c>
      <c r="E26" s="7"/>
      <c r="F26" s="14" t="s">
        <v>868</v>
      </c>
      <c r="G26" s="11">
        <f>IF(D26&lt;=1,24,IF(D26&lt;=2.5,18,IF(D26&gt;4,6,12)))</f>
        <v>12</v>
      </c>
    </row>
    <row r="27" spans="1:7" ht="28.8" x14ac:dyDescent="0.3">
      <c r="A27">
        <v>25</v>
      </c>
      <c r="B27" s="15" t="s">
        <v>919</v>
      </c>
      <c r="D27" s="12">
        <f>((Variable_indicador!X592+(3*Variable_indicador!X593))/Variable_indicador!X591)</f>
        <v>4.1803278688524594</v>
      </c>
      <c r="F27" s="14" t="s">
        <v>920</v>
      </c>
      <c r="G27" s="11">
        <f t="shared" ref="G27:G28" si="1">IF(D27&lt;=1,24,IF(D27&lt;=2.5,18,IF(D27&gt;4,6,12)))</f>
        <v>6</v>
      </c>
    </row>
    <row r="28" spans="1:7" ht="28.8" x14ac:dyDescent="0.3">
      <c r="A28">
        <v>26</v>
      </c>
      <c r="B28" s="15" t="s">
        <v>933</v>
      </c>
      <c r="D28" s="30">
        <f>((Variable_indicador!X602+(3*Variable_indicador!X603))/Variable_indicador!X604)</f>
        <v>1.3301886792452831</v>
      </c>
      <c r="F28" s="15" t="s">
        <v>934</v>
      </c>
      <c r="G28" s="11">
        <f t="shared" si="1"/>
        <v>18</v>
      </c>
    </row>
    <row r="29" spans="1:7" ht="43.2" x14ac:dyDescent="0.3">
      <c r="A29">
        <v>27</v>
      </c>
      <c r="B29" s="15" t="s">
        <v>193</v>
      </c>
      <c r="D29" s="7">
        <f>((Variable_indicador!X637-Variable_indicador!X638)/Variable_indicador!X637)</f>
        <v>-1.2113578074583521E-3</v>
      </c>
      <c r="F29" s="14" t="s">
        <v>970</v>
      </c>
      <c r="G29">
        <f>IF(D29&gt;3.27,14,IF(D29&gt;1.92,10,IF(D29&gt;=0,6,2)))</f>
        <v>2</v>
      </c>
    </row>
    <row r="30" spans="1:7" ht="43.2" x14ac:dyDescent="0.3">
      <c r="A30">
        <v>28</v>
      </c>
      <c r="B30" s="15" t="s">
        <v>194</v>
      </c>
      <c r="D30" s="7">
        <f>((Variable_indicador!X655-Variable_indicador!X656)/Variable_indicador!X655)</f>
        <v>0.15702089713508027</v>
      </c>
      <c r="F30" s="14" t="s">
        <v>1016</v>
      </c>
      <c r="G30">
        <f>IF(D30&gt;3.27,14,IF(D30&gt;1.92,10,IF(D30&gt;=0,6,2)))</f>
        <v>6</v>
      </c>
    </row>
    <row r="31" spans="1:7" ht="43.2" x14ac:dyDescent="0.3">
      <c r="A31">
        <v>29</v>
      </c>
      <c r="B31" s="15" t="s">
        <v>1017</v>
      </c>
      <c r="D31" s="7">
        <f>((Variable_indicador!X680-Variable_indicador!X679)/Variable_indicador!X680)*100</f>
        <v>9.2625350114814964</v>
      </c>
      <c r="F31" s="15" t="s">
        <v>1015</v>
      </c>
      <c r="G31">
        <f>IF(D31&gt;15.47,17,IF(D31&gt;0,10,5))</f>
        <v>10</v>
      </c>
    </row>
    <row r="32" spans="1:7" x14ac:dyDescent="0.3">
      <c r="A32">
        <v>30</v>
      </c>
      <c r="B32" s="15" t="s">
        <v>196</v>
      </c>
      <c r="D32" s="17">
        <f>((Variable_indicador!X691/Variable_indicador!X692)-(Variable_indicador!X685/Variable_indicador!X686))/(Variable_indicador!X691/Variable_indicador!X692)*100</f>
        <v>36.444799521355506</v>
      </c>
      <c r="E32" s="7" t="s">
        <v>62</v>
      </c>
      <c r="G32" s="16">
        <f>IF(D32&gt;=50,17,IF(D32&gt;=35,11,IF(D32&gt;=15,6,1)))</f>
        <v>11</v>
      </c>
    </row>
    <row r="33" spans="1:7" ht="43.2" x14ac:dyDescent="0.3">
      <c r="A33" s="62">
        <v>31</v>
      </c>
      <c r="B33" s="63" t="s">
        <v>197</v>
      </c>
      <c r="C33" s="62"/>
      <c r="D33" s="144">
        <f>Variable_indicador!X694-Variable_indicador!X693</f>
        <v>7302438.8299999991</v>
      </c>
      <c r="E33" s="62"/>
      <c r="F33" s="63" t="s">
        <v>1021</v>
      </c>
      <c r="G33" s="62">
        <f>IF(D33&gt;=8000000,17,IF(D33&gt;4000000,10, 0))</f>
        <v>10</v>
      </c>
    </row>
    <row r="34" spans="1:7" ht="57.6" x14ac:dyDescent="0.3">
      <c r="A34">
        <v>32</v>
      </c>
      <c r="B34" s="15" t="s">
        <v>198</v>
      </c>
      <c r="D34">
        <f>((Variable_indicador!X700-Variable_indicador!X699)/Variable_indicador!X700)*100</f>
        <v>8.3333333333333321</v>
      </c>
      <c r="F34" s="15" t="s">
        <v>1029</v>
      </c>
      <c r="G34">
        <f>IF(D34&gt;20,17,IF(D34&gt;=1,13,IF(D34=0,9,IF(D34&gt;=-20,5,1))))</f>
        <v>13</v>
      </c>
    </row>
    <row r="35" spans="1:7" ht="28.8" x14ac:dyDescent="0.3">
      <c r="A35">
        <v>33</v>
      </c>
      <c r="B35" t="s">
        <v>200</v>
      </c>
      <c r="D35">
        <f>(Variable_indicador!X701/Variable_indicador!X702)*100</f>
        <v>117.03662591364892</v>
      </c>
      <c r="F35" s="15" t="s">
        <v>1033</v>
      </c>
      <c r="G35">
        <f>IF(D35&gt;100,21,8)</f>
        <v>21</v>
      </c>
    </row>
    <row r="36" spans="1:7" ht="43.2" x14ac:dyDescent="0.3">
      <c r="A36">
        <v>34</v>
      </c>
      <c r="B36" s="15" t="s">
        <v>201</v>
      </c>
      <c r="D36">
        <f>(Variable_indicador!X703/Variable_indicador!X704)*100</f>
        <v>98.519793895563382</v>
      </c>
      <c r="F36" s="15" t="s">
        <v>1036</v>
      </c>
      <c r="G36">
        <f>IF(D36&gt;=96,19,IF(D36&gt;=91,16,IF(D36&gt;=86,10,5)))</f>
        <v>19</v>
      </c>
    </row>
    <row r="37" spans="1:7" ht="57.6" x14ac:dyDescent="0.3">
      <c r="A37">
        <v>35</v>
      </c>
      <c r="B37" s="15" t="s">
        <v>202</v>
      </c>
      <c r="D37">
        <f>((Variable_indicador!X705-Variable_indicador!X706)/Variable_indicador!X706)*100</f>
        <v>186.09271523178808</v>
      </c>
      <c r="F37" s="15" t="s">
        <v>1041</v>
      </c>
      <c r="G37">
        <f>IF(D37&gt;150,14,IF(D37&gt;=100,12,IF(D37&gt;=70,7,5)))</f>
        <v>14</v>
      </c>
    </row>
    <row r="38" spans="1:7" ht="43.2" x14ac:dyDescent="0.3">
      <c r="A38">
        <v>36</v>
      </c>
      <c r="B38" s="15" t="s">
        <v>203</v>
      </c>
      <c r="D38">
        <f>(Variable_indicador!X707/Variable_indicador!X708)*100</f>
        <v>6.2583221438961623</v>
      </c>
      <c r="F38" s="15" t="s">
        <v>1045</v>
      </c>
      <c r="G38">
        <f>IF(D38&lt;=8.33,17,IF(D38&lt;=13.81,12,IF(D38&lt;=19.29,8,4)))</f>
        <v>17</v>
      </c>
    </row>
    <row r="39" spans="1:7" ht="57.6" x14ac:dyDescent="0.3">
      <c r="A39">
        <v>37</v>
      </c>
      <c r="B39" s="15" t="s">
        <v>204</v>
      </c>
      <c r="D39">
        <f>((Variable_indicador!X709/Variable_indicador!X710)*100)</f>
        <v>52.521350284511733</v>
      </c>
      <c r="F39" s="15" t="s">
        <v>1049</v>
      </c>
      <c r="G39">
        <f>IF(D39&lt;=25,11,IF(D39&lt;=44,7,IF(D39&lt;=63,3.5,1)))</f>
        <v>3.5</v>
      </c>
    </row>
    <row r="40" spans="1:7" ht="28.8" x14ac:dyDescent="0.3">
      <c r="A40">
        <v>38</v>
      </c>
      <c r="B40" s="15" t="s">
        <v>206</v>
      </c>
      <c r="D40">
        <f>((Variable_indicador!X716-Variable_indicador!X713)/Variable_indicador!X716)*100</f>
        <v>6.3941406361600786</v>
      </c>
      <c r="F40" s="15" t="s">
        <v>1057</v>
      </c>
      <c r="G40">
        <f>IF(D40&gt;20,14,IF(D40&gt;=11,12,IF(D40&gt;=1,10,IF(D40=0,8,IF(D40&gt;=-10,6,IF(D40&gt;=-20,4,2))))))</f>
        <v>10</v>
      </c>
    </row>
    <row r="41" spans="1:7" ht="43.2" x14ac:dyDescent="0.3">
      <c r="A41">
        <v>39</v>
      </c>
      <c r="B41" s="15" t="s">
        <v>207</v>
      </c>
      <c r="D41">
        <f>((Variable_indicador!X717/Variable_indicador!X719)*(Variable_indicador!X718/Variable_indicador!X720))*100</f>
        <v>2.8199654084096006</v>
      </c>
      <c r="F41" s="15" t="s">
        <v>1063</v>
      </c>
      <c r="G41">
        <f>IF(D41&gt;=15,24,IF(D41&gt;=10,18,IF(D41&gt;=5,12,6)))</f>
        <v>6</v>
      </c>
    </row>
    <row r="42" spans="1:7" ht="57.6" x14ac:dyDescent="0.3">
      <c r="A42">
        <v>40</v>
      </c>
      <c r="B42" s="15" t="s">
        <v>208</v>
      </c>
      <c r="D42">
        <f>(Variable_indicador!X721/Variable_indicador!X722)*100</f>
        <v>62.891867142620704</v>
      </c>
      <c r="E42" s="8"/>
      <c r="F42" s="15" t="s">
        <v>1067</v>
      </c>
      <c r="G42">
        <f>IF(D42&gt;60,7,IF(D42&gt;=40,14,21))</f>
        <v>7</v>
      </c>
    </row>
    <row r="43" spans="1:7" ht="43.2" x14ac:dyDescent="0.3">
      <c r="A43">
        <v>41</v>
      </c>
      <c r="B43" t="s">
        <v>210</v>
      </c>
      <c r="D43">
        <f>((Variable_indicador!X728-Variable_indicador!X725)/Variable_indicador!X725)*100</f>
        <v>-5.1747093379535789</v>
      </c>
      <c r="E43" s="8"/>
      <c r="F43" s="15" t="s">
        <v>1075</v>
      </c>
      <c r="G43">
        <f>IF(D43&gt;0,21,IF(D43=0,14,7))</f>
        <v>7</v>
      </c>
    </row>
    <row r="44" spans="1:7" ht="43.2" x14ac:dyDescent="0.3">
      <c r="A44">
        <v>42</v>
      </c>
      <c r="B44" t="s">
        <v>212</v>
      </c>
      <c r="D44">
        <f>Variable_indicador!X734/Variable_indicador!X731</f>
        <v>6.8212153832885143</v>
      </c>
      <c r="E44" s="8"/>
      <c r="F44" s="15" t="s">
        <v>1083</v>
      </c>
      <c r="G44">
        <f>IF(D44&gt;50,21,IF(D44&gt;=30,16,IF(D44&gt;=15,11,6)))</f>
        <v>6</v>
      </c>
    </row>
    <row r="45" spans="1:7" ht="43.2" x14ac:dyDescent="0.3">
      <c r="A45">
        <v>43</v>
      </c>
      <c r="B45" s="15" t="s">
        <v>213</v>
      </c>
      <c r="D45">
        <f>(Variable_indicador!X737/(Variable_indicador!X740+Variable_indicador!X741))*100</f>
        <v>12.762134706125511</v>
      </c>
      <c r="E45" s="8"/>
      <c r="F45" s="15" t="s">
        <v>1094</v>
      </c>
      <c r="G45">
        <f>IF(D45&lt;2,21,IF(D45&lt;=5,16,IF(D45&lt;=10,11,6)))</f>
        <v>6</v>
      </c>
    </row>
    <row r="46" spans="1:7" ht="57.6" x14ac:dyDescent="0.3">
      <c r="A46">
        <v>44</v>
      </c>
      <c r="B46" s="15" t="s">
        <v>216</v>
      </c>
      <c r="D46">
        <f>G46</f>
        <v>7</v>
      </c>
      <c r="E46" s="8"/>
      <c r="F46" s="15" t="s">
        <v>1176</v>
      </c>
      <c r="G46">
        <f>IF(Variable_indicador!X821="Alta",1,IF(Variable_indicador!X821="Moderada",4,IF(Variable_indicador!X821="Baja",7,IF(Variable_indicador!X821="Nula",10,""))))+IF(Variable_indicador!X822="Alta",1,IF(Variable_indicador!X822="Moderada",3,IF(Variable_indicador!X822="Baja",6,IF(Variable_indicador!X822="Nula",8,""))))+IF(Variable_indicador!X823="Alta",1,IF(Variable_indicador!X823="Moderada",2,IF(Variable_indicador!X823="Baja",4,IF(Variable_indicador!X823="Nula",6,""))))</f>
        <v>7</v>
      </c>
    </row>
    <row r="47" spans="1:7" ht="57.6" x14ac:dyDescent="0.3">
      <c r="A47">
        <v>45</v>
      </c>
      <c r="B47" s="15" t="s">
        <v>217</v>
      </c>
      <c r="D47">
        <f>G47</f>
        <v>7</v>
      </c>
      <c r="E47" s="8"/>
      <c r="F47" s="15" t="s">
        <v>1236</v>
      </c>
      <c r="G47">
        <f>IF(Variable_indicador!X846="Alta",1,IF(Variable_indicador!X846="Moderada",4,IF(Variable_indicador!X846="Baja",7,IF(Variable_indicador!X846="Nula",10,""))))+IF(Variable_indicador!X847="Alta",1,IF(Variable_indicador!X847="Moderada",3,IF(Variable_indicador!X847="Baja",6,IF(Variable_indicador!X847="Nula",8,""))))+IF(Variable_indicador!X848="Alta",1,IF(Variable_indicador!X848="Moderada",2,IF(Variable_indicador!X848="Baja",4,IF(Variable_indicador!X848="Nula",6,""))))</f>
        <v>7</v>
      </c>
    </row>
    <row r="48" spans="1:7" ht="72" x14ac:dyDescent="0.3">
      <c r="A48">
        <v>46</v>
      </c>
      <c r="B48" s="15" t="s">
        <v>219</v>
      </c>
      <c r="D48">
        <f>(Variable_indicador!X876+Variable_indicador!X877+Variable_indicador!X878+Variable_indicador!X879)/4</f>
        <v>21.486380036126114</v>
      </c>
      <c r="E48" s="8"/>
      <c r="F48" s="15" t="s">
        <v>1235</v>
      </c>
      <c r="G48">
        <f>IF(D48&lt;30,5,IF(D48&lt;70,2,21))</f>
        <v>5</v>
      </c>
    </row>
    <row r="49" spans="1:7" x14ac:dyDescent="0.3">
      <c r="A49">
        <v>47</v>
      </c>
      <c r="B49" s="15" t="s">
        <v>221</v>
      </c>
      <c r="D49">
        <f>G49</f>
        <v>5</v>
      </c>
      <c r="E49" s="8"/>
      <c r="F49" t="s">
        <v>1247</v>
      </c>
      <c r="G49">
        <f>IF(Variable_indicador!X886&gt;=0,5,2)+IF(Variable_indicador!X887&gt;=0,4,1)+IF(Variable_indicador!X888&gt;=0,2,5)</f>
        <v>5</v>
      </c>
    </row>
    <row r="50" spans="1:7" x14ac:dyDescent="0.3">
      <c r="A50">
        <v>48</v>
      </c>
      <c r="B50" s="15" t="s">
        <v>223</v>
      </c>
      <c r="D50">
        <f>((Variable_indicador!X891-Variable_indicador!X894)/Variable_indicador!X891)*100</f>
        <v>13.94212180511574</v>
      </c>
      <c r="E50" s="8"/>
      <c r="F50" t="s">
        <v>1255</v>
      </c>
      <c r="G50">
        <f>IF(D50&gt;0,24,IF(D50&lt;0,2,""))</f>
        <v>24</v>
      </c>
    </row>
    <row r="51" spans="1:7" x14ac:dyDescent="0.3">
      <c r="A51">
        <v>49</v>
      </c>
      <c r="B51" t="s">
        <v>224</v>
      </c>
      <c r="D51">
        <f>((Variable_indicador!X896-Variable_indicador!X895)/Variable_indicador!X896)*100</f>
        <v>3.5991965978889122</v>
      </c>
      <c r="E51" s="8"/>
      <c r="F51" t="s">
        <v>1255</v>
      </c>
      <c r="G51">
        <f>IF(D51&gt;3,22,IF(D51&gt;=1,18,IF(D51&gt;=0,12,2)))</f>
        <v>22</v>
      </c>
    </row>
    <row r="52" spans="1:7" x14ac:dyDescent="0.3">
      <c r="A52">
        <v>50</v>
      </c>
      <c r="B52" t="s">
        <v>225</v>
      </c>
      <c r="D52" s="154">
        <f>Variable_indicador!X900-Variable_indicador!X899</f>
        <v>0.40307073095131329</v>
      </c>
      <c r="E52" s="8"/>
      <c r="F52" t="s">
        <v>1262</v>
      </c>
      <c r="G52">
        <f>IF(D52&gt;0,24,IF(D52&lt;0,2,""))</f>
        <v>24</v>
      </c>
    </row>
    <row r="53" spans="1:7" x14ac:dyDescent="0.3">
      <c r="A53">
        <v>51</v>
      </c>
      <c r="B53" t="s">
        <v>227</v>
      </c>
      <c r="D53">
        <f>(Variable_indicador!X901/Variable_indicador!X902)*100</f>
        <v>54.54545454545454</v>
      </c>
      <c r="E53" s="8"/>
      <c r="F53" t="s">
        <v>1262</v>
      </c>
      <c r="G53">
        <f>IF(D53&gt;80,21,IF(D53&gt;=40,14,7))</f>
        <v>14</v>
      </c>
    </row>
    <row r="54" spans="1:7" x14ac:dyDescent="0.3">
      <c r="E54" s="8"/>
    </row>
    <row r="56" spans="1:7" x14ac:dyDescent="0.3">
      <c r="D56" s="10"/>
      <c r="E56" s="6"/>
      <c r="G56" s="14"/>
    </row>
    <row r="57" spans="1:7" x14ac:dyDescent="0.3">
      <c r="D57" s="10"/>
      <c r="E57" s="6"/>
      <c r="G57" s="14"/>
    </row>
    <row r="58" spans="1:7" x14ac:dyDescent="0.3">
      <c r="D58" s="10"/>
      <c r="E58" s="6"/>
      <c r="G58" s="14"/>
    </row>
    <row r="59" spans="1:7" x14ac:dyDescent="0.3">
      <c r="D59" s="10"/>
      <c r="E59" s="6"/>
      <c r="G59" s="14"/>
    </row>
    <row r="60" spans="1:7" x14ac:dyDescent="0.3">
      <c r="D60" s="10"/>
      <c r="E60" s="6"/>
      <c r="G60" s="14"/>
    </row>
    <row r="61" spans="1:7" x14ac:dyDescent="0.3">
      <c r="E61" s="160"/>
    </row>
    <row r="62" spans="1:7" x14ac:dyDescent="0.3">
      <c r="D62" s="13"/>
      <c r="E62" s="160"/>
      <c r="G62" s="11"/>
    </row>
    <row r="63" spans="1:7" x14ac:dyDescent="0.3">
      <c r="D63" s="13"/>
      <c r="E63" s="160"/>
      <c r="G63" s="11"/>
    </row>
    <row r="64" spans="1:7" x14ac:dyDescent="0.3">
      <c r="D64" s="13"/>
      <c r="E64" s="160"/>
      <c r="G64" s="11"/>
    </row>
    <row r="65" spans="4:7" x14ac:dyDescent="0.3">
      <c r="D65" s="13"/>
      <c r="E65" s="160"/>
      <c r="F65" s="1"/>
      <c r="G65" s="11"/>
    </row>
    <row r="66" spans="4:7" x14ac:dyDescent="0.3">
      <c r="D66" s="13"/>
      <c r="E66" s="160"/>
      <c r="F66" s="1"/>
      <c r="G66" s="11"/>
    </row>
    <row r="67" spans="4:7" x14ac:dyDescent="0.3">
      <c r="D67" s="13"/>
      <c r="E67" s="160"/>
      <c r="F67" s="1"/>
      <c r="G67" s="11"/>
    </row>
    <row r="68" spans="4:7" x14ac:dyDescent="0.3">
      <c r="D68" s="13"/>
      <c r="E68" s="160"/>
      <c r="F68" s="1"/>
      <c r="G68" s="11"/>
    </row>
    <row r="69" spans="4:7" x14ac:dyDescent="0.3">
      <c r="D69" s="13"/>
      <c r="E69" s="160"/>
      <c r="F69" s="1"/>
      <c r="G69" s="11"/>
    </row>
    <row r="70" spans="4:7" x14ac:dyDescent="0.3">
      <c r="D70" s="13"/>
      <c r="E70" s="160"/>
      <c r="F70" s="1"/>
      <c r="G70" s="11"/>
    </row>
    <row r="71" spans="4:7" x14ac:dyDescent="0.3">
      <c r="D71" s="13"/>
      <c r="E71" s="160"/>
      <c r="F71" s="1"/>
      <c r="G71" s="11"/>
    </row>
    <row r="72" spans="4:7" x14ac:dyDescent="0.3">
      <c r="D72" s="13"/>
      <c r="E72" s="160"/>
      <c r="F72" s="1"/>
      <c r="G72" s="11"/>
    </row>
    <row r="73" spans="4:7" x14ac:dyDescent="0.3">
      <c r="D73" s="7"/>
      <c r="E73" s="7"/>
      <c r="F73" s="7"/>
      <c r="G73" s="6"/>
    </row>
    <row r="74" spans="4:7" x14ac:dyDescent="0.3">
      <c r="D74" s="7"/>
      <c r="E74" s="7"/>
      <c r="F74" s="7"/>
      <c r="G74" s="7"/>
    </row>
  </sheetData>
  <mergeCells count="2">
    <mergeCell ref="E61:E72"/>
    <mergeCell ref="D1:G1"/>
  </mergeCells>
  <phoneticPr fontId="14" type="noConversion"/>
  <dataValidations count="1">
    <dataValidation type="list" allowBlank="1" showInputMessage="1" showErrorMessage="1" sqref="E32 E18:E21 F11 E23:E26 E3:E15 E42:E54" xr:uid="{936D258D-5582-4480-B5F8-E49E1DE84492}">
      <formula1>"Entero (Integer int), Flotante (Float  Double), Booleano (Boolean bool), Carácter (Characterchar), Cadena de texto (String str)."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480B6-BAA9-4406-B038-FB3808145D9A}">
  <dimension ref="A1:W54"/>
  <sheetViews>
    <sheetView topLeftCell="T4" zoomScale="70" zoomScaleNormal="130" workbookViewId="0">
      <selection activeCell="T12" sqref="T12:T19"/>
    </sheetView>
  </sheetViews>
  <sheetFormatPr baseColWidth="10" defaultRowHeight="14.4" x14ac:dyDescent="0.3"/>
  <cols>
    <col min="2" max="2" width="12.21875" customWidth="1"/>
    <col min="4" max="4" width="31.77734375" customWidth="1"/>
    <col min="5" max="5" width="30.109375" customWidth="1"/>
    <col min="6" max="6" width="56.6640625" bestFit="1" customWidth="1"/>
    <col min="7" max="10" width="81.5546875" customWidth="1"/>
    <col min="11" max="11" width="78.88671875" customWidth="1"/>
    <col min="12" max="12" width="81.5546875" customWidth="1"/>
    <col min="13" max="14" width="11.21875" customWidth="1"/>
    <col min="15" max="15" width="11.21875" style="29" customWidth="1"/>
    <col min="16" max="18" width="11.21875" customWidth="1"/>
    <col min="19" max="19" width="29.44140625" customWidth="1"/>
    <col min="20" max="20" width="34.6640625" customWidth="1"/>
    <col min="22" max="22" width="18.44140625" customWidth="1"/>
    <col min="23" max="23" width="20.88671875" customWidth="1"/>
  </cols>
  <sheetData>
    <row r="1" spans="1:23" s="28" customFormat="1" ht="72" x14ac:dyDescent="0.3">
      <c r="A1" s="28" t="s">
        <v>133</v>
      </c>
      <c r="B1" s="28" t="s">
        <v>4</v>
      </c>
      <c r="C1" s="28" t="s">
        <v>134</v>
      </c>
      <c r="D1" s="28" t="s">
        <v>59</v>
      </c>
      <c r="E1" s="28" t="s">
        <v>135</v>
      </c>
      <c r="F1" s="28" t="s">
        <v>233</v>
      </c>
      <c r="G1" s="123" t="s">
        <v>228</v>
      </c>
      <c r="H1" s="123" t="s">
        <v>229</v>
      </c>
      <c r="I1" s="123" t="s">
        <v>231</v>
      </c>
      <c r="J1" s="123" t="s">
        <v>234</v>
      </c>
      <c r="K1" s="123" t="s">
        <v>235</v>
      </c>
      <c r="L1" s="123" t="s">
        <v>236</v>
      </c>
      <c r="M1" s="28" t="s">
        <v>136</v>
      </c>
      <c r="N1" s="28" t="s">
        <v>137</v>
      </c>
      <c r="O1" s="28" t="s">
        <v>138</v>
      </c>
      <c r="P1" s="28" t="s">
        <v>139</v>
      </c>
      <c r="Q1" s="28" t="s">
        <v>140</v>
      </c>
      <c r="R1" s="28" t="s">
        <v>141</v>
      </c>
      <c r="S1" s="123" t="s">
        <v>237</v>
      </c>
      <c r="T1" s="123" t="s">
        <v>238</v>
      </c>
      <c r="U1" s="28" t="s">
        <v>142</v>
      </c>
      <c r="V1" s="28" t="s">
        <v>143</v>
      </c>
      <c r="W1" s="28" t="s">
        <v>865</v>
      </c>
    </row>
    <row r="2" spans="1:23" ht="57.6" x14ac:dyDescent="0.3">
      <c r="A2" s="22">
        <v>1</v>
      </c>
      <c r="B2" s="23" t="s">
        <v>144</v>
      </c>
      <c r="C2" s="24" t="s">
        <v>145</v>
      </c>
      <c r="D2" s="23" t="s">
        <v>146</v>
      </c>
      <c r="E2" s="23" t="s">
        <v>147</v>
      </c>
      <c r="F2" s="20" t="s">
        <v>232</v>
      </c>
      <c r="G2" s="23" t="s">
        <v>239</v>
      </c>
      <c r="H2" s="23" t="s">
        <v>239</v>
      </c>
      <c r="I2" s="23" t="s">
        <v>239</v>
      </c>
      <c r="J2" s="23" t="s">
        <v>70</v>
      </c>
      <c r="K2" s="23" t="s">
        <v>239</v>
      </c>
      <c r="L2" s="23" t="s">
        <v>239</v>
      </c>
      <c r="M2" s="25">
        <f>IF(G2="SI", 5, 1)</f>
        <v>5</v>
      </c>
      <c r="N2" s="25">
        <f t="shared" ref="N2:R2" si="0">IF(H2="SI", 5, 1)</f>
        <v>5</v>
      </c>
      <c r="O2" s="25">
        <f t="shared" si="0"/>
        <v>5</v>
      </c>
      <c r="P2" s="25">
        <f t="shared" si="0"/>
        <v>1</v>
      </c>
      <c r="Q2" s="25">
        <f t="shared" si="0"/>
        <v>5</v>
      </c>
      <c r="R2" s="25">
        <f t="shared" si="0"/>
        <v>5</v>
      </c>
      <c r="S2" s="26">
        <v>4.333333333333333</v>
      </c>
      <c r="T2" s="26">
        <v>4.5142857142857142</v>
      </c>
      <c r="U2" s="26">
        <f>SUM(M2:T2)</f>
        <v>34.847619047619048</v>
      </c>
      <c r="V2">
        <f>(Tabla1[[#This Row],[Total]]/$U$53)*1000</f>
        <v>21.467757198887774</v>
      </c>
      <c r="W2" s="26">
        <f>ROUND(Tabla1[[#This Row],[Normalización]],0)</f>
        <v>21</v>
      </c>
    </row>
    <row r="3" spans="1:23" ht="43.2" x14ac:dyDescent="0.3">
      <c r="A3" s="22">
        <v>2</v>
      </c>
      <c r="B3" s="23" t="s">
        <v>144</v>
      </c>
      <c r="C3" s="24" t="s">
        <v>145</v>
      </c>
      <c r="D3" s="23" t="s">
        <v>146</v>
      </c>
      <c r="E3" s="23" t="s">
        <v>148</v>
      </c>
      <c r="F3" s="20" t="s">
        <v>244</v>
      </c>
      <c r="G3" s="23" t="s">
        <v>239</v>
      </c>
      <c r="H3" s="23" t="s">
        <v>70</v>
      </c>
      <c r="I3" s="23" t="s">
        <v>70</v>
      </c>
      <c r="J3" s="23" t="s">
        <v>70</v>
      </c>
      <c r="K3" s="23" t="s">
        <v>239</v>
      </c>
      <c r="L3" s="23" t="s">
        <v>70</v>
      </c>
      <c r="M3" s="25">
        <f t="shared" ref="M3:M52" si="1">IF(G3="SI", 5, 1)</f>
        <v>5</v>
      </c>
      <c r="N3" s="25">
        <f t="shared" ref="N3:N52" si="2">IF(H3="SI", 5, 1)</f>
        <v>1</v>
      </c>
      <c r="O3" s="25">
        <f t="shared" ref="O3:O52" si="3">IF(I3="SI", 5, 1)</f>
        <v>1</v>
      </c>
      <c r="P3" s="25">
        <f t="shared" ref="P3:P52" si="4">IF(J3="SI", 5, 1)</f>
        <v>1</v>
      </c>
      <c r="Q3" s="25">
        <f t="shared" ref="Q3:Q52" si="5">IF(K3="SI", 5, 1)</f>
        <v>5</v>
      </c>
      <c r="R3" s="25">
        <f t="shared" ref="R3:R52" si="6">IF(L3="SI", 5, 1)</f>
        <v>1</v>
      </c>
      <c r="S3" s="26">
        <v>4.333333333333333</v>
      </c>
      <c r="T3" s="26">
        <v>4.3529411764705879</v>
      </c>
      <c r="U3" s="26">
        <f t="shared" ref="U3:U52" si="7">SUM(M3:T3)</f>
        <v>22.686274509803919</v>
      </c>
      <c r="V3">
        <f>(Tabla1[[#This Row],[Total]]/$U$53)*1000</f>
        <v>13.975802256626856</v>
      </c>
      <c r="W3" s="26">
        <f>ROUND(Tabla1[[#This Row],[Normalización]],0)</f>
        <v>14</v>
      </c>
    </row>
    <row r="4" spans="1:23" ht="43.2" x14ac:dyDescent="0.3">
      <c r="A4" s="22">
        <v>3</v>
      </c>
      <c r="B4" s="23" t="s">
        <v>144</v>
      </c>
      <c r="C4" s="24" t="s">
        <v>149</v>
      </c>
      <c r="D4" s="23" t="s">
        <v>150</v>
      </c>
      <c r="E4" s="23" t="s">
        <v>151</v>
      </c>
      <c r="F4" s="20" t="s">
        <v>245</v>
      </c>
      <c r="G4" s="23" t="s">
        <v>239</v>
      </c>
      <c r="H4" s="23" t="s">
        <v>239</v>
      </c>
      <c r="I4" s="23" t="s">
        <v>239</v>
      </c>
      <c r="J4" s="23" t="s">
        <v>239</v>
      </c>
      <c r="K4" s="23" t="s">
        <v>239</v>
      </c>
      <c r="L4" s="23" t="s">
        <v>70</v>
      </c>
      <c r="M4" s="25">
        <f t="shared" si="1"/>
        <v>5</v>
      </c>
      <c r="N4" s="25">
        <f t="shared" si="2"/>
        <v>5</v>
      </c>
      <c r="O4" s="25">
        <f t="shared" si="3"/>
        <v>5</v>
      </c>
      <c r="P4" s="25">
        <f t="shared" si="4"/>
        <v>5</v>
      </c>
      <c r="Q4" s="25">
        <f t="shared" si="5"/>
        <v>5</v>
      </c>
      <c r="R4" s="25">
        <f t="shared" si="6"/>
        <v>1</v>
      </c>
      <c r="S4" s="26">
        <v>4.333333333333333</v>
      </c>
      <c r="T4" s="26">
        <v>4.03125</v>
      </c>
      <c r="U4" s="26">
        <f t="shared" si="7"/>
        <v>34.364583333333329</v>
      </c>
      <c r="V4">
        <f>(Tabla1[[#This Row],[Total]]/$U$53)*1000</f>
        <v>21.170184689887744</v>
      </c>
      <c r="W4" s="26">
        <f>ROUND(Tabla1[[#This Row],[Normalización]],0)</f>
        <v>21</v>
      </c>
    </row>
    <row r="5" spans="1:23" ht="43.2" x14ac:dyDescent="0.3">
      <c r="A5" s="22">
        <v>4</v>
      </c>
      <c r="B5" s="23" t="s">
        <v>144</v>
      </c>
      <c r="C5" s="24" t="s">
        <v>149</v>
      </c>
      <c r="D5" s="23" t="s">
        <v>150</v>
      </c>
      <c r="E5" s="23" t="s">
        <v>152</v>
      </c>
      <c r="F5" s="20" t="s">
        <v>246</v>
      </c>
      <c r="G5" s="23" t="s">
        <v>70</v>
      </c>
      <c r="H5" s="23" t="s">
        <v>239</v>
      </c>
      <c r="I5" s="23" t="s">
        <v>239</v>
      </c>
      <c r="J5" s="23" t="s">
        <v>239</v>
      </c>
      <c r="K5" s="23" t="s">
        <v>239</v>
      </c>
      <c r="L5" s="23" t="s">
        <v>70</v>
      </c>
      <c r="M5" s="25">
        <f t="shared" si="1"/>
        <v>1</v>
      </c>
      <c r="N5" s="25">
        <f t="shared" si="2"/>
        <v>5</v>
      </c>
      <c r="O5" s="25">
        <f t="shared" si="3"/>
        <v>5</v>
      </c>
      <c r="P5" s="25">
        <f t="shared" si="4"/>
        <v>5</v>
      </c>
      <c r="Q5" s="25">
        <f t="shared" si="5"/>
        <v>5</v>
      </c>
      <c r="R5" s="25">
        <f t="shared" si="6"/>
        <v>1</v>
      </c>
      <c r="S5" s="26">
        <v>4.333333333333333</v>
      </c>
      <c r="T5" s="26">
        <v>4.1515151515151514</v>
      </c>
      <c r="U5" s="26">
        <f t="shared" si="7"/>
        <v>30.484848484848484</v>
      </c>
      <c r="V5">
        <f>(Tabla1[[#This Row],[Total]]/$U$53)*1000</f>
        <v>18.780087231306084</v>
      </c>
      <c r="W5" s="26">
        <f>ROUND(Tabla1[[#This Row],[Normalización]],0)</f>
        <v>19</v>
      </c>
    </row>
    <row r="6" spans="1:23" ht="43.2" x14ac:dyDescent="0.3">
      <c r="A6" s="22">
        <v>5</v>
      </c>
      <c r="B6" s="23" t="s">
        <v>144</v>
      </c>
      <c r="C6" s="24" t="s">
        <v>149</v>
      </c>
      <c r="D6" s="23" t="s">
        <v>150</v>
      </c>
      <c r="E6" s="23" t="s">
        <v>153</v>
      </c>
      <c r="F6" s="20" t="s">
        <v>247</v>
      </c>
      <c r="G6" s="23" t="s">
        <v>239</v>
      </c>
      <c r="H6" s="23" t="s">
        <v>239</v>
      </c>
      <c r="I6" s="23" t="s">
        <v>239</v>
      </c>
      <c r="J6" s="23" t="s">
        <v>239</v>
      </c>
      <c r="K6" s="23" t="s">
        <v>239</v>
      </c>
      <c r="L6" s="23" t="s">
        <v>70</v>
      </c>
      <c r="M6" s="25">
        <f t="shared" si="1"/>
        <v>5</v>
      </c>
      <c r="N6" s="25">
        <f t="shared" si="2"/>
        <v>5</v>
      </c>
      <c r="O6" s="25">
        <f t="shared" si="3"/>
        <v>5</v>
      </c>
      <c r="P6" s="25">
        <f t="shared" si="4"/>
        <v>5</v>
      </c>
      <c r="Q6" s="25">
        <f t="shared" si="5"/>
        <v>5</v>
      </c>
      <c r="R6" s="25">
        <f t="shared" si="6"/>
        <v>1</v>
      </c>
      <c r="S6" s="26">
        <v>4.333333333333333</v>
      </c>
      <c r="T6" s="26">
        <v>4.3636363636363633</v>
      </c>
      <c r="U6" s="26">
        <f t="shared" si="7"/>
        <v>34.696969696969695</v>
      </c>
      <c r="V6">
        <f>(Tabla1[[#This Row],[Total]]/$U$53)*1000</f>
        <v>21.374950178772828</v>
      </c>
      <c r="W6" s="26">
        <f>ROUND(Tabla1[[#This Row],[Normalización]],0)</f>
        <v>21</v>
      </c>
    </row>
    <row r="7" spans="1:23" ht="43.2" x14ac:dyDescent="0.3">
      <c r="A7" s="22">
        <v>6</v>
      </c>
      <c r="B7" s="23" t="s">
        <v>154</v>
      </c>
      <c r="C7" s="24" t="s">
        <v>155</v>
      </c>
      <c r="D7" s="23" t="s">
        <v>156</v>
      </c>
      <c r="E7" s="23" t="s">
        <v>157</v>
      </c>
      <c r="F7" s="20" t="s">
        <v>248</v>
      </c>
      <c r="G7" s="23" t="s">
        <v>239</v>
      </c>
      <c r="H7" s="23" t="s">
        <v>239</v>
      </c>
      <c r="I7" s="23" t="s">
        <v>239</v>
      </c>
      <c r="J7" s="23" t="s">
        <v>70</v>
      </c>
      <c r="K7" s="23" t="s">
        <v>239</v>
      </c>
      <c r="L7" s="23" t="s">
        <v>239</v>
      </c>
      <c r="M7" s="25">
        <f t="shared" si="1"/>
        <v>5</v>
      </c>
      <c r="N7" s="25">
        <f t="shared" si="2"/>
        <v>5</v>
      </c>
      <c r="O7" s="25">
        <f t="shared" si="3"/>
        <v>5</v>
      </c>
      <c r="P7" s="25">
        <f t="shared" si="4"/>
        <v>1</v>
      </c>
      <c r="Q7" s="25">
        <f t="shared" si="5"/>
        <v>5</v>
      </c>
      <c r="R7" s="25">
        <f t="shared" si="6"/>
        <v>5</v>
      </c>
      <c r="S7" s="26">
        <v>4.4333333333333336</v>
      </c>
      <c r="T7" s="26">
        <v>4.2941176470588234</v>
      </c>
      <c r="U7" s="26">
        <f t="shared" si="7"/>
        <v>34.727450980392156</v>
      </c>
      <c r="V7">
        <f>(Tabla1[[#This Row],[Total]]/$U$53)*1000</f>
        <v>21.393728069759575</v>
      </c>
      <c r="W7" s="26">
        <f>ROUND(Tabla1[[#This Row],[Normalización]],0)</f>
        <v>21</v>
      </c>
    </row>
    <row r="8" spans="1:23" ht="28.8" x14ac:dyDescent="0.3">
      <c r="A8" s="22">
        <v>7</v>
      </c>
      <c r="B8" s="23" t="s">
        <v>154</v>
      </c>
      <c r="C8" s="24" t="s">
        <v>155</v>
      </c>
      <c r="D8" s="23" t="s">
        <v>156</v>
      </c>
      <c r="E8" s="23" t="s">
        <v>158</v>
      </c>
      <c r="F8" s="20" t="s">
        <v>249</v>
      </c>
      <c r="G8" s="23" t="s">
        <v>239</v>
      </c>
      <c r="H8" s="23" t="s">
        <v>70</v>
      </c>
      <c r="I8" s="23" t="s">
        <v>239</v>
      </c>
      <c r="J8" s="23" t="s">
        <v>70</v>
      </c>
      <c r="K8" s="23" t="s">
        <v>239</v>
      </c>
      <c r="L8" s="23" t="s">
        <v>239</v>
      </c>
      <c r="M8" s="25">
        <f t="shared" si="1"/>
        <v>5</v>
      </c>
      <c r="N8" s="25">
        <f t="shared" si="2"/>
        <v>1</v>
      </c>
      <c r="O8" s="25">
        <f t="shared" si="3"/>
        <v>5</v>
      </c>
      <c r="P8" s="25">
        <f t="shared" si="4"/>
        <v>1</v>
      </c>
      <c r="Q8" s="25">
        <f t="shared" si="5"/>
        <v>5</v>
      </c>
      <c r="R8" s="25">
        <f t="shared" si="6"/>
        <v>5</v>
      </c>
      <c r="S8" s="26">
        <v>4.4333333333333336</v>
      </c>
      <c r="T8" s="26">
        <v>4.4705882352941178</v>
      </c>
      <c r="U8" s="26">
        <f t="shared" si="7"/>
        <v>30.903921568627453</v>
      </c>
      <c r="V8">
        <f>(Tabla1[[#This Row],[Total]]/$U$53)*1000</f>
        <v>19.038255779316849</v>
      </c>
      <c r="W8" s="26">
        <f>ROUND(Tabla1[[#This Row],[Normalización]],0)</f>
        <v>19</v>
      </c>
    </row>
    <row r="9" spans="1:23" ht="28.8" x14ac:dyDescent="0.3">
      <c r="A9" s="22">
        <v>8</v>
      </c>
      <c r="B9" s="23" t="s">
        <v>154</v>
      </c>
      <c r="C9" s="24" t="s">
        <v>149</v>
      </c>
      <c r="D9" s="23" t="s">
        <v>159</v>
      </c>
      <c r="E9" s="23" t="s">
        <v>160</v>
      </c>
      <c r="F9" s="20" t="s">
        <v>250</v>
      </c>
      <c r="G9" s="23" t="s">
        <v>239</v>
      </c>
      <c r="H9" s="23" t="s">
        <v>70</v>
      </c>
      <c r="I9" s="23" t="s">
        <v>239</v>
      </c>
      <c r="J9" s="23" t="s">
        <v>70</v>
      </c>
      <c r="K9" s="23" t="s">
        <v>239</v>
      </c>
      <c r="L9" s="23" t="s">
        <v>239</v>
      </c>
      <c r="M9" s="25">
        <f t="shared" si="1"/>
        <v>5</v>
      </c>
      <c r="N9" s="25">
        <f t="shared" si="2"/>
        <v>1</v>
      </c>
      <c r="O9" s="25">
        <f t="shared" si="3"/>
        <v>5</v>
      </c>
      <c r="P9" s="25">
        <f t="shared" si="4"/>
        <v>1</v>
      </c>
      <c r="Q9" s="25">
        <f t="shared" si="5"/>
        <v>5</v>
      </c>
      <c r="R9" s="25">
        <f t="shared" si="6"/>
        <v>5</v>
      </c>
      <c r="S9" s="26">
        <v>4.4333333333333336</v>
      </c>
      <c r="T9" s="26">
        <v>4.628571428571429</v>
      </c>
      <c r="U9" s="26">
        <f t="shared" si="7"/>
        <v>31.061904761904763</v>
      </c>
      <c r="V9">
        <f>(Tabla1[[#This Row],[Total]]/$U$53)*1000</f>
        <v>19.135580788240631</v>
      </c>
      <c r="W9" s="26">
        <f>ROUND(Tabla1[[#This Row],[Normalización]],0)</f>
        <v>19</v>
      </c>
    </row>
    <row r="10" spans="1:23" x14ac:dyDescent="0.3">
      <c r="A10" s="22">
        <v>9</v>
      </c>
      <c r="B10" s="23" t="s">
        <v>161</v>
      </c>
      <c r="C10" s="24" t="s">
        <v>149</v>
      </c>
      <c r="D10" s="23" t="s">
        <v>162</v>
      </c>
      <c r="E10" s="23" t="s">
        <v>163</v>
      </c>
      <c r="F10" s="20" t="s">
        <v>251</v>
      </c>
      <c r="G10" s="23" t="s">
        <v>239</v>
      </c>
      <c r="H10" s="23" t="s">
        <v>239</v>
      </c>
      <c r="I10" s="23" t="s">
        <v>239</v>
      </c>
      <c r="J10" s="23" t="s">
        <v>239</v>
      </c>
      <c r="K10" s="23" t="s">
        <v>239</v>
      </c>
      <c r="L10" s="23" t="s">
        <v>239</v>
      </c>
      <c r="M10" s="25">
        <f t="shared" si="1"/>
        <v>5</v>
      </c>
      <c r="N10" s="25">
        <f t="shared" si="2"/>
        <v>5</v>
      </c>
      <c r="O10" s="25">
        <f t="shared" si="3"/>
        <v>5</v>
      </c>
      <c r="P10" s="25">
        <f t="shared" si="4"/>
        <v>5</v>
      </c>
      <c r="Q10" s="25">
        <f t="shared" si="5"/>
        <v>5</v>
      </c>
      <c r="R10" s="25">
        <f t="shared" si="6"/>
        <v>5</v>
      </c>
      <c r="S10" s="26">
        <v>4.62</v>
      </c>
      <c r="T10" s="26">
        <v>4.68</v>
      </c>
      <c r="U10" s="26">
        <f t="shared" si="7"/>
        <v>39.299999999999997</v>
      </c>
      <c r="V10">
        <f>(Tabla1[[#This Row],[Total]]/$U$53)*1000</f>
        <v>24.210631342227494</v>
      </c>
      <c r="W10" s="26">
        <f>ROUND(Tabla1[[#This Row],[Normalización]],0)</f>
        <v>24</v>
      </c>
    </row>
    <row r="11" spans="1:23" ht="28.8" x14ac:dyDescent="0.3">
      <c r="A11" s="22">
        <v>10</v>
      </c>
      <c r="B11" s="23" t="s">
        <v>161</v>
      </c>
      <c r="C11" s="24" t="s">
        <v>149</v>
      </c>
      <c r="D11" s="23" t="s">
        <v>164</v>
      </c>
      <c r="E11" s="23" t="s">
        <v>165</v>
      </c>
      <c r="F11" s="20" t="s">
        <v>252</v>
      </c>
      <c r="G11" s="23" t="s">
        <v>239</v>
      </c>
      <c r="H11" s="23" t="s">
        <v>239</v>
      </c>
      <c r="I11" s="23" t="s">
        <v>70</v>
      </c>
      <c r="J11" s="23" t="s">
        <v>239</v>
      </c>
      <c r="K11" s="23" t="s">
        <v>239</v>
      </c>
      <c r="L11" s="23" t="s">
        <v>70</v>
      </c>
      <c r="M11" s="25">
        <f t="shared" si="1"/>
        <v>5</v>
      </c>
      <c r="N11" s="25">
        <f t="shared" si="2"/>
        <v>5</v>
      </c>
      <c r="O11" s="25">
        <f t="shared" si="3"/>
        <v>1</v>
      </c>
      <c r="P11" s="25">
        <f t="shared" si="4"/>
        <v>5</v>
      </c>
      <c r="Q11" s="25">
        <f t="shared" si="5"/>
        <v>5</v>
      </c>
      <c r="R11" s="25">
        <f t="shared" si="6"/>
        <v>1</v>
      </c>
      <c r="S11" s="26">
        <v>4.62</v>
      </c>
      <c r="T11" s="26">
        <v>4.49</v>
      </c>
      <c r="U11" s="26">
        <f t="shared" si="7"/>
        <v>31.11</v>
      </c>
      <c r="V11">
        <f>(Tabla1[[#This Row],[Total]]/$U$53)*1000</f>
        <v>19.165209696099168</v>
      </c>
      <c r="W11" s="26">
        <f>ROUND(Tabla1[[#This Row],[Normalización]],0)</f>
        <v>19</v>
      </c>
    </row>
    <row r="12" spans="1:23" x14ac:dyDescent="0.3">
      <c r="A12" s="22">
        <v>11</v>
      </c>
      <c r="B12" s="23" t="s">
        <v>161</v>
      </c>
      <c r="C12" s="24" t="s">
        <v>149</v>
      </c>
      <c r="D12" s="23" t="s">
        <v>166</v>
      </c>
      <c r="E12" s="23" t="s">
        <v>167</v>
      </c>
      <c r="F12" s="20" t="s">
        <v>253</v>
      </c>
      <c r="G12" s="23" t="s">
        <v>239</v>
      </c>
      <c r="H12" s="23" t="s">
        <v>239</v>
      </c>
      <c r="I12" s="23" t="s">
        <v>239</v>
      </c>
      <c r="J12" s="23" t="s">
        <v>239</v>
      </c>
      <c r="K12" s="23" t="s">
        <v>239</v>
      </c>
      <c r="L12" s="23" t="s">
        <v>239</v>
      </c>
      <c r="M12" s="25">
        <f t="shared" si="1"/>
        <v>5</v>
      </c>
      <c r="N12" s="25">
        <f t="shared" si="2"/>
        <v>5</v>
      </c>
      <c r="O12" s="25">
        <f t="shared" si="3"/>
        <v>5</v>
      </c>
      <c r="P12" s="25">
        <f t="shared" si="4"/>
        <v>5</v>
      </c>
      <c r="Q12" s="25">
        <f t="shared" si="5"/>
        <v>5</v>
      </c>
      <c r="R12" s="25">
        <f t="shared" si="6"/>
        <v>5</v>
      </c>
      <c r="S12" s="26">
        <v>4.62</v>
      </c>
      <c r="T12" s="26">
        <v>4.6900000000000004</v>
      </c>
      <c r="U12" s="26">
        <f t="shared" si="7"/>
        <v>39.309999999999995</v>
      </c>
      <c r="V12">
        <f>(Tabla1[[#This Row],[Total]]/$U$53)*1000</f>
        <v>24.216791808217881</v>
      </c>
      <c r="W12" s="26">
        <f>ROUND(Tabla1[[#This Row],[Normalización]],0)</f>
        <v>24</v>
      </c>
    </row>
    <row r="13" spans="1:23" x14ac:dyDescent="0.3">
      <c r="A13" s="22">
        <v>12</v>
      </c>
      <c r="B13" s="23" t="s">
        <v>161</v>
      </c>
      <c r="C13" s="24" t="s">
        <v>149</v>
      </c>
      <c r="D13" s="23" t="s">
        <v>168</v>
      </c>
      <c r="E13" s="23" t="s">
        <v>169</v>
      </c>
      <c r="F13" s="20" t="s">
        <v>254</v>
      </c>
      <c r="G13" s="23" t="s">
        <v>239</v>
      </c>
      <c r="H13" s="23" t="s">
        <v>239</v>
      </c>
      <c r="I13" s="23" t="s">
        <v>239</v>
      </c>
      <c r="J13" s="23" t="s">
        <v>239</v>
      </c>
      <c r="K13" s="23" t="s">
        <v>239</v>
      </c>
      <c r="L13" s="23" t="s">
        <v>70</v>
      </c>
      <c r="M13" s="25">
        <f t="shared" si="1"/>
        <v>5</v>
      </c>
      <c r="N13" s="25">
        <f t="shared" si="2"/>
        <v>5</v>
      </c>
      <c r="O13" s="25">
        <f t="shared" si="3"/>
        <v>5</v>
      </c>
      <c r="P13" s="25">
        <f t="shared" si="4"/>
        <v>5</v>
      </c>
      <c r="Q13" s="25">
        <f t="shared" si="5"/>
        <v>5</v>
      </c>
      <c r="R13" s="25">
        <f t="shared" si="6"/>
        <v>1</v>
      </c>
      <c r="S13" s="26">
        <v>4.62</v>
      </c>
      <c r="T13" s="26">
        <v>4.49</v>
      </c>
      <c r="U13" s="26">
        <f t="shared" si="7"/>
        <v>35.11</v>
      </c>
      <c r="V13">
        <f>(Tabla1[[#This Row],[Total]]/$U$53)*1000</f>
        <v>21.629396092254638</v>
      </c>
      <c r="W13" s="26">
        <f>ROUND(Tabla1[[#This Row],[Normalización]],0)</f>
        <v>22</v>
      </c>
    </row>
    <row r="14" spans="1:23" ht="28.8" x14ac:dyDescent="0.3">
      <c r="A14" s="22">
        <v>13</v>
      </c>
      <c r="B14" s="23" t="s">
        <v>170</v>
      </c>
      <c r="C14" s="24" t="s">
        <v>155</v>
      </c>
      <c r="D14" s="23" t="s">
        <v>171</v>
      </c>
      <c r="E14" s="23" t="s">
        <v>172</v>
      </c>
      <c r="F14" s="20" t="s">
        <v>255</v>
      </c>
      <c r="G14" s="23" t="s">
        <v>239</v>
      </c>
      <c r="H14" s="23" t="s">
        <v>70</v>
      </c>
      <c r="I14" s="23" t="s">
        <v>239</v>
      </c>
      <c r="J14" s="23" t="s">
        <v>70</v>
      </c>
      <c r="K14" s="23" t="s">
        <v>70</v>
      </c>
      <c r="L14" s="23" t="s">
        <v>239</v>
      </c>
      <c r="M14" s="25">
        <f t="shared" si="1"/>
        <v>5</v>
      </c>
      <c r="N14" s="25">
        <f t="shared" si="2"/>
        <v>1</v>
      </c>
      <c r="O14" s="25">
        <f t="shared" si="3"/>
        <v>5</v>
      </c>
      <c r="P14" s="25">
        <f t="shared" si="4"/>
        <v>1</v>
      </c>
      <c r="Q14" s="25">
        <f t="shared" si="5"/>
        <v>1</v>
      </c>
      <c r="R14" s="25">
        <f t="shared" si="6"/>
        <v>5</v>
      </c>
      <c r="S14" s="26">
        <v>4.62</v>
      </c>
      <c r="T14" s="26">
        <v>4.82</v>
      </c>
      <c r="U14" s="26">
        <f t="shared" si="7"/>
        <v>27.44</v>
      </c>
      <c r="V14">
        <f>(Tabla1[[#This Row],[Total]]/$U$53)*1000</f>
        <v>16.904318677626527</v>
      </c>
      <c r="W14" s="26">
        <f>ROUND(Tabla1[[#This Row],[Normalización]],0)</f>
        <v>17</v>
      </c>
    </row>
    <row r="15" spans="1:23" ht="28.8" x14ac:dyDescent="0.3">
      <c r="A15" s="22">
        <v>14</v>
      </c>
      <c r="B15" s="23" t="s">
        <v>170</v>
      </c>
      <c r="C15" s="24" t="s">
        <v>155</v>
      </c>
      <c r="D15" s="23" t="s">
        <v>171</v>
      </c>
      <c r="E15" s="23" t="s">
        <v>173</v>
      </c>
      <c r="F15" s="20" t="s">
        <v>256</v>
      </c>
      <c r="G15" s="23" t="s">
        <v>239</v>
      </c>
      <c r="H15" s="23" t="s">
        <v>70</v>
      </c>
      <c r="I15" s="23" t="s">
        <v>239</v>
      </c>
      <c r="J15" s="23" t="s">
        <v>70</v>
      </c>
      <c r="K15" s="23" t="s">
        <v>70</v>
      </c>
      <c r="L15" s="23" t="s">
        <v>239</v>
      </c>
      <c r="M15" s="25">
        <f t="shared" si="1"/>
        <v>5</v>
      </c>
      <c r="N15" s="25">
        <f t="shared" si="2"/>
        <v>1</v>
      </c>
      <c r="O15" s="25">
        <f t="shared" si="3"/>
        <v>5</v>
      </c>
      <c r="P15" s="25">
        <f t="shared" si="4"/>
        <v>1</v>
      </c>
      <c r="Q15" s="25">
        <f t="shared" si="5"/>
        <v>1</v>
      </c>
      <c r="R15" s="25">
        <f t="shared" si="6"/>
        <v>5</v>
      </c>
      <c r="S15" s="26">
        <v>4.62</v>
      </c>
      <c r="T15" s="26">
        <v>4.6399999999999997</v>
      </c>
      <c r="U15" s="26">
        <f t="shared" si="7"/>
        <v>27.26</v>
      </c>
      <c r="V15">
        <f>(Tabla1[[#This Row],[Total]]/$U$53)*1000</f>
        <v>16.793430289799531</v>
      </c>
      <c r="W15" s="26">
        <f>ROUND(Tabla1[[#This Row],[Normalización]],0)</f>
        <v>17</v>
      </c>
    </row>
    <row r="16" spans="1:23" ht="28.8" x14ac:dyDescent="0.3">
      <c r="A16" s="22">
        <v>15</v>
      </c>
      <c r="B16" s="23" t="s">
        <v>170</v>
      </c>
      <c r="C16" s="24" t="s">
        <v>155</v>
      </c>
      <c r="D16" s="23" t="s">
        <v>171</v>
      </c>
      <c r="E16" s="23" t="s">
        <v>174</v>
      </c>
      <c r="F16" s="20" t="s">
        <v>257</v>
      </c>
      <c r="G16" s="23" t="s">
        <v>239</v>
      </c>
      <c r="H16" s="23" t="s">
        <v>70</v>
      </c>
      <c r="I16" s="23" t="s">
        <v>239</v>
      </c>
      <c r="J16" s="23" t="s">
        <v>70</v>
      </c>
      <c r="K16" s="23" t="s">
        <v>239</v>
      </c>
      <c r="L16" s="23" t="s">
        <v>239</v>
      </c>
      <c r="M16" s="25">
        <f t="shared" si="1"/>
        <v>5</v>
      </c>
      <c r="N16" s="25">
        <f t="shared" si="2"/>
        <v>1</v>
      </c>
      <c r="O16" s="25">
        <f t="shared" si="3"/>
        <v>5</v>
      </c>
      <c r="P16" s="25">
        <f t="shared" si="4"/>
        <v>1</v>
      </c>
      <c r="Q16" s="25">
        <f t="shared" si="5"/>
        <v>5</v>
      </c>
      <c r="R16" s="25">
        <f t="shared" si="6"/>
        <v>5</v>
      </c>
      <c r="S16" s="26">
        <v>4.62</v>
      </c>
      <c r="T16" s="26">
        <v>4.43</v>
      </c>
      <c r="U16" s="26">
        <f t="shared" si="7"/>
        <v>31.05</v>
      </c>
      <c r="V16">
        <f>(Tabla1[[#This Row],[Total]]/$U$53)*1000</f>
        <v>19.128246900156835</v>
      </c>
      <c r="W16" s="26">
        <f>ROUND(Tabla1[[#This Row],[Normalización]],0)</f>
        <v>19</v>
      </c>
    </row>
    <row r="17" spans="1:23" ht="43.2" x14ac:dyDescent="0.3">
      <c r="A17" s="22">
        <v>16</v>
      </c>
      <c r="B17" s="23" t="s">
        <v>170</v>
      </c>
      <c r="C17" s="24" t="s">
        <v>155</v>
      </c>
      <c r="D17" s="23" t="s">
        <v>171</v>
      </c>
      <c r="E17" s="23" t="s">
        <v>175</v>
      </c>
      <c r="F17" s="20" t="s">
        <v>258</v>
      </c>
      <c r="G17" s="23" t="s">
        <v>239</v>
      </c>
      <c r="H17" s="23" t="s">
        <v>70</v>
      </c>
      <c r="I17" s="23" t="s">
        <v>239</v>
      </c>
      <c r="J17" s="23" t="s">
        <v>70</v>
      </c>
      <c r="K17" s="23" t="s">
        <v>239</v>
      </c>
      <c r="L17" s="23" t="s">
        <v>239</v>
      </c>
      <c r="M17" s="25">
        <f t="shared" si="1"/>
        <v>5</v>
      </c>
      <c r="N17" s="25">
        <f t="shared" si="2"/>
        <v>1</v>
      </c>
      <c r="O17" s="25">
        <f t="shared" si="3"/>
        <v>5</v>
      </c>
      <c r="P17" s="25">
        <f t="shared" si="4"/>
        <v>1</v>
      </c>
      <c r="Q17" s="25">
        <f t="shared" si="5"/>
        <v>5</v>
      </c>
      <c r="R17" s="25">
        <f t="shared" si="6"/>
        <v>5</v>
      </c>
      <c r="S17" s="26">
        <v>4.62</v>
      </c>
      <c r="T17" s="26">
        <v>4.25</v>
      </c>
      <c r="U17" s="26">
        <f t="shared" si="7"/>
        <v>30.87</v>
      </c>
      <c r="V17">
        <f>(Tabla1[[#This Row],[Total]]/$U$53)*1000</f>
        <v>19.017358512329839</v>
      </c>
      <c r="W17" s="26">
        <f>ROUND(Tabla1[[#This Row],[Normalización]],0)</f>
        <v>19</v>
      </c>
    </row>
    <row r="18" spans="1:23" ht="43.2" x14ac:dyDescent="0.3">
      <c r="A18" s="22">
        <v>17</v>
      </c>
      <c r="B18" s="23" t="s">
        <v>170</v>
      </c>
      <c r="C18" s="24" t="s">
        <v>155</v>
      </c>
      <c r="D18" s="23" t="s">
        <v>171</v>
      </c>
      <c r="E18" s="23" t="s">
        <v>176</v>
      </c>
      <c r="F18" s="20" t="s">
        <v>259</v>
      </c>
      <c r="G18" s="23" t="s">
        <v>239</v>
      </c>
      <c r="H18" s="23" t="s">
        <v>70</v>
      </c>
      <c r="I18" s="23" t="s">
        <v>239</v>
      </c>
      <c r="J18" s="23" t="s">
        <v>70</v>
      </c>
      <c r="K18" s="23" t="s">
        <v>239</v>
      </c>
      <c r="L18" s="23" t="s">
        <v>239</v>
      </c>
      <c r="M18" s="25">
        <f t="shared" si="1"/>
        <v>5</v>
      </c>
      <c r="N18" s="25">
        <f t="shared" si="2"/>
        <v>1</v>
      </c>
      <c r="O18" s="25">
        <f t="shared" si="3"/>
        <v>5</v>
      </c>
      <c r="P18" s="25">
        <f t="shared" si="4"/>
        <v>1</v>
      </c>
      <c r="Q18" s="25">
        <f t="shared" si="5"/>
        <v>5</v>
      </c>
      <c r="R18" s="25">
        <f t="shared" si="6"/>
        <v>5</v>
      </c>
      <c r="S18" s="26">
        <v>4.62</v>
      </c>
      <c r="T18" s="27">
        <v>4.62</v>
      </c>
      <c r="U18" s="26">
        <f t="shared" si="7"/>
        <v>31.240000000000002</v>
      </c>
      <c r="V18">
        <f>(Tabla1[[#This Row],[Total]]/$U$53)*1000</f>
        <v>19.245295753974222</v>
      </c>
      <c r="W18" s="26">
        <f>ROUND(Tabla1[[#This Row],[Normalización]],0)</f>
        <v>19</v>
      </c>
    </row>
    <row r="19" spans="1:23" ht="43.2" x14ac:dyDescent="0.3">
      <c r="A19" s="22">
        <v>18</v>
      </c>
      <c r="B19" s="23" t="s">
        <v>177</v>
      </c>
      <c r="C19" s="24" t="s">
        <v>155</v>
      </c>
      <c r="D19" s="23" t="s">
        <v>171</v>
      </c>
      <c r="E19" s="23" t="s">
        <v>178</v>
      </c>
      <c r="F19" s="20" t="s">
        <v>260</v>
      </c>
      <c r="G19" s="23" t="s">
        <v>70</v>
      </c>
      <c r="H19" s="23" t="s">
        <v>239</v>
      </c>
      <c r="I19" s="23" t="s">
        <v>239</v>
      </c>
      <c r="J19" s="23" t="s">
        <v>239</v>
      </c>
      <c r="K19" s="23" t="s">
        <v>239</v>
      </c>
      <c r="L19" s="23" t="s">
        <v>239</v>
      </c>
      <c r="M19" s="25">
        <f t="shared" si="1"/>
        <v>1</v>
      </c>
      <c r="N19" s="25">
        <f t="shared" si="2"/>
        <v>5</v>
      </c>
      <c r="O19" s="25">
        <f t="shared" si="3"/>
        <v>5</v>
      </c>
      <c r="P19" s="25">
        <f t="shared" si="4"/>
        <v>5</v>
      </c>
      <c r="Q19" s="25">
        <f t="shared" si="5"/>
        <v>5</v>
      </c>
      <c r="R19" s="25">
        <f t="shared" si="6"/>
        <v>5</v>
      </c>
      <c r="S19" s="26">
        <v>4.4074074074074074</v>
      </c>
      <c r="T19" s="26">
        <v>4.25</v>
      </c>
      <c r="U19" s="26">
        <f t="shared" si="7"/>
        <v>34.657407407407405</v>
      </c>
      <c r="V19">
        <f>(Tabla1[[#This Row],[Total]]/$U$53)*1000</f>
        <v>21.350577964837786</v>
      </c>
      <c r="W19" s="26">
        <f>ROUND(Tabla1[[#This Row],[Normalización]],0)</f>
        <v>21</v>
      </c>
    </row>
    <row r="20" spans="1:23" ht="43.2" x14ac:dyDescent="0.3">
      <c r="A20" s="22">
        <v>19</v>
      </c>
      <c r="B20" s="23" t="s">
        <v>177</v>
      </c>
      <c r="C20" s="23" t="s">
        <v>179</v>
      </c>
      <c r="D20" s="24" t="s">
        <v>180</v>
      </c>
      <c r="E20" s="23" t="s">
        <v>181</v>
      </c>
      <c r="F20" s="20" t="s">
        <v>261</v>
      </c>
      <c r="G20" s="23" t="s">
        <v>70</v>
      </c>
      <c r="H20" s="23" t="s">
        <v>239</v>
      </c>
      <c r="I20" s="23" t="s">
        <v>239</v>
      </c>
      <c r="J20" s="23" t="s">
        <v>70</v>
      </c>
      <c r="K20" s="23" t="s">
        <v>239</v>
      </c>
      <c r="L20" s="23" t="s">
        <v>239</v>
      </c>
      <c r="M20" s="25">
        <f t="shared" si="1"/>
        <v>1</v>
      </c>
      <c r="N20" s="25">
        <f t="shared" si="2"/>
        <v>5</v>
      </c>
      <c r="O20" s="25">
        <f t="shared" si="3"/>
        <v>5</v>
      </c>
      <c r="P20" s="25">
        <f t="shared" si="4"/>
        <v>1</v>
      </c>
      <c r="Q20" s="25">
        <f t="shared" si="5"/>
        <v>5</v>
      </c>
      <c r="R20" s="25">
        <f t="shared" si="6"/>
        <v>5</v>
      </c>
      <c r="S20" s="26">
        <v>4.4074074074074074</v>
      </c>
      <c r="T20" s="26">
        <v>4.4642857142857144</v>
      </c>
      <c r="U20" s="26">
        <f t="shared" si="7"/>
        <v>30.871693121693124</v>
      </c>
      <c r="V20">
        <f>(Tabla1[[#This Row],[Total]]/$U$53)*1000</f>
        <v>19.01840155419065</v>
      </c>
      <c r="W20" s="26">
        <f>ROUND(Tabla1[[#This Row],[Normalización]],0)</f>
        <v>19</v>
      </c>
    </row>
    <row r="21" spans="1:23" ht="43.2" x14ac:dyDescent="0.3">
      <c r="A21" s="22">
        <v>20</v>
      </c>
      <c r="B21" s="23" t="s">
        <v>177</v>
      </c>
      <c r="C21" s="24" t="s">
        <v>155</v>
      </c>
      <c r="D21" s="23" t="s">
        <v>182</v>
      </c>
      <c r="E21" s="23" t="s">
        <v>183</v>
      </c>
      <c r="F21" s="20" t="s">
        <v>262</v>
      </c>
      <c r="G21" s="23" t="s">
        <v>70</v>
      </c>
      <c r="H21" s="23" t="s">
        <v>70</v>
      </c>
      <c r="I21" s="23" t="s">
        <v>239</v>
      </c>
      <c r="J21" s="23" t="s">
        <v>70</v>
      </c>
      <c r="K21" s="23" t="s">
        <v>239</v>
      </c>
      <c r="L21" s="23" t="s">
        <v>239</v>
      </c>
      <c r="M21" s="25">
        <f t="shared" si="1"/>
        <v>1</v>
      </c>
      <c r="N21" s="25">
        <f t="shared" si="2"/>
        <v>1</v>
      </c>
      <c r="O21" s="25">
        <f t="shared" si="3"/>
        <v>5</v>
      </c>
      <c r="P21" s="25">
        <f t="shared" si="4"/>
        <v>1</v>
      </c>
      <c r="Q21" s="25">
        <f t="shared" si="5"/>
        <v>5</v>
      </c>
      <c r="R21" s="25">
        <f t="shared" si="6"/>
        <v>5</v>
      </c>
      <c r="S21" s="26">
        <v>4.4074074074074074</v>
      </c>
      <c r="T21" s="26">
        <v>4.5357142857142856</v>
      </c>
      <c r="U21" s="26">
        <f t="shared" si="7"/>
        <v>26.943121693121693</v>
      </c>
      <c r="V21">
        <f>(Tabla1[[#This Row],[Total]]/$U$53)*1000</f>
        <v>16.598218486537952</v>
      </c>
      <c r="W21" s="26">
        <f>ROUND(Tabla1[[#This Row],[Normalización]],0)</f>
        <v>17</v>
      </c>
    </row>
    <row r="22" spans="1:23" ht="57.6" x14ac:dyDescent="0.3">
      <c r="A22" s="22">
        <v>21</v>
      </c>
      <c r="B22" s="23" t="s">
        <v>184</v>
      </c>
      <c r="C22" s="24" t="s">
        <v>179</v>
      </c>
      <c r="D22" s="23" t="s">
        <v>185</v>
      </c>
      <c r="E22" s="23" t="s">
        <v>186</v>
      </c>
      <c r="F22" s="20" t="s">
        <v>263</v>
      </c>
      <c r="G22" s="23" t="s">
        <v>239</v>
      </c>
      <c r="H22" s="23" t="s">
        <v>239</v>
      </c>
      <c r="I22" s="23" t="s">
        <v>239</v>
      </c>
      <c r="J22" s="23" t="s">
        <v>239</v>
      </c>
      <c r="K22" s="23" t="s">
        <v>70</v>
      </c>
      <c r="L22" s="23" t="s">
        <v>239</v>
      </c>
      <c r="M22" s="25">
        <f t="shared" si="1"/>
        <v>5</v>
      </c>
      <c r="N22" s="25">
        <f t="shared" si="2"/>
        <v>5</v>
      </c>
      <c r="O22" s="25">
        <f t="shared" si="3"/>
        <v>5</v>
      </c>
      <c r="P22" s="25">
        <f t="shared" si="4"/>
        <v>5</v>
      </c>
      <c r="Q22" s="25">
        <f t="shared" si="5"/>
        <v>1</v>
      </c>
      <c r="R22" s="25">
        <f t="shared" si="6"/>
        <v>5</v>
      </c>
      <c r="S22" s="26">
        <v>4.5199999999999996</v>
      </c>
      <c r="T22" s="26">
        <v>4.59</v>
      </c>
      <c r="U22" s="26">
        <f t="shared" si="7"/>
        <v>35.11</v>
      </c>
      <c r="V22">
        <f>(Tabla1[[#This Row],[Total]]/$U$53)*1000</f>
        <v>21.629396092254638</v>
      </c>
      <c r="W22" s="26">
        <f>ROUND(Tabla1[[#This Row],[Normalización]],0)</f>
        <v>22</v>
      </c>
    </row>
    <row r="23" spans="1:23" ht="57.6" x14ac:dyDescent="0.3">
      <c r="A23" s="22">
        <v>22</v>
      </c>
      <c r="B23" s="23" t="s">
        <v>184</v>
      </c>
      <c r="C23" s="24" t="s">
        <v>179</v>
      </c>
      <c r="D23" s="23" t="s">
        <v>185</v>
      </c>
      <c r="E23" s="23" t="s">
        <v>187</v>
      </c>
      <c r="F23" s="20" t="s">
        <v>264</v>
      </c>
      <c r="G23" s="23" t="s">
        <v>239</v>
      </c>
      <c r="H23" s="23" t="s">
        <v>239</v>
      </c>
      <c r="I23" s="23" t="s">
        <v>239</v>
      </c>
      <c r="J23" s="23" t="s">
        <v>70</v>
      </c>
      <c r="K23" s="23" t="s">
        <v>239</v>
      </c>
      <c r="L23" s="23" t="s">
        <v>239</v>
      </c>
      <c r="M23" s="25">
        <f t="shared" si="1"/>
        <v>5</v>
      </c>
      <c r="N23" s="25">
        <f t="shared" si="2"/>
        <v>5</v>
      </c>
      <c r="O23" s="25">
        <f t="shared" si="3"/>
        <v>5</v>
      </c>
      <c r="P23" s="25">
        <f t="shared" si="4"/>
        <v>1</v>
      </c>
      <c r="Q23" s="25">
        <f t="shared" si="5"/>
        <v>5</v>
      </c>
      <c r="R23" s="25">
        <f t="shared" si="6"/>
        <v>5</v>
      </c>
      <c r="S23" s="26">
        <v>4.5199999999999996</v>
      </c>
      <c r="T23" s="26">
        <v>4.3099999999999996</v>
      </c>
      <c r="U23" s="26">
        <f t="shared" si="7"/>
        <v>34.83</v>
      </c>
      <c r="V23">
        <f>(Tabla1[[#This Row],[Total]]/$U$53)*1000</f>
        <v>21.456903044523756</v>
      </c>
      <c r="W23" s="26">
        <f>ROUND(Tabla1[[#This Row],[Normalización]],0)</f>
        <v>21</v>
      </c>
    </row>
    <row r="24" spans="1:23" ht="57.6" x14ac:dyDescent="0.3">
      <c r="A24" s="22">
        <v>23</v>
      </c>
      <c r="B24" s="23" t="s">
        <v>184</v>
      </c>
      <c r="C24" s="24" t="s">
        <v>179</v>
      </c>
      <c r="D24" s="23" t="s">
        <v>180</v>
      </c>
      <c r="E24" s="23" t="s">
        <v>188</v>
      </c>
      <c r="F24" s="20" t="s">
        <v>265</v>
      </c>
      <c r="G24" s="23" t="s">
        <v>239</v>
      </c>
      <c r="H24" s="23" t="s">
        <v>239</v>
      </c>
      <c r="I24" s="23" t="s">
        <v>239</v>
      </c>
      <c r="J24" s="23" t="s">
        <v>70</v>
      </c>
      <c r="K24" s="23" t="s">
        <v>70</v>
      </c>
      <c r="L24" s="23" t="s">
        <v>239</v>
      </c>
      <c r="M24" s="25">
        <f t="shared" si="1"/>
        <v>5</v>
      </c>
      <c r="N24" s="25">
        <f t="shared" si="2"/>
        <v>5</v>
      </c>
      <c r="O24" s="25">
        <f t="shared" si="3"/>
        <v>5</v>
      </c>
      <c r="P24" s="25">
        <f t="shared" si="4"/>
        <v>1</v>
      </c>
      <c r="Q24" s="25">
        <f t="shared" si="5"/>
        <v>1</v>
      </c>
      <c r="R24" s="25">
        <f t="shared" si="6"/>
        <v>5</v>
      </c>
      <c r="S24" s="26">
        <v>4.5199999999999996</v>
      </c>
      <c r="T24" s="26">
        <v>4.45</v>
      </c>
      <c r="U24" s="26">
        <f t="shared" si="7"/>
        <v>30.97</v>
      </c>
      <c r="V24">
        <f>(Tabla1[[#This Row],[Total]]/$U$53)*1000</f>
        <v>19.078963172233724</v>
      </c>
      <c r="W24" s="26">
        <f>ROUND(Tabla1[[#This Row],[Normalización]],0)</f>
        <v>19</v>
      </c>
    </row>
    <row r="25" spans="1:23" ht="57.6" x14ac:dyDescent="0.3">
      <c r="A25" s="22">
        <v>24</v>
      </c>
      <c r="B25" s="23" t="s">
        <v>184</v>
      </c>
      <c r="C25" s="24" t="s">
        <v>179</v>
      </c>
      <c r="D25" s="23" t="s">
        <v>180</v>
      </c>
      <c r="E25" s="24" t="s">
        <v>189</v>
      </c>
      <c r="F25" s="20" t="s">
        <v>266</v>
      </c>
      <c r="G25" s="23" t="s">
        <v>239</v>
      </c>
      <c r="H25" s="23" t="s">
        <v>239</v>
      </c>
      <c r="I25" s="23" t="s">
        <v>239</v>
      </c>
      <c r="J25" s="23" t="s">
        <v>239</v>
      </c>
      <c r="K25" s="23" t="s">
        <v>239</v>
      </c>
      <c r="L25" s="23" t="s">
        <v>239</v>
      </c>
      <c r="M25" s="25">
        <f t="shared" si="1"/>
        <v>5</v>
      </c>
      <c r="N25" s="25">
        <f t="shared" si="2"/>
        <v>5</v>
      </c>
      <c r="O25" s="25">
        <f t="shared" si="3"/>
        <v>5</v>
      </c>
      <c r="P25" s="25">
        <f t="shared" si="4"/>
        <v>5</v>
      </c>
      <c r="Q25" s="25">
        <f t="shared" si="5"/>
        <v>5</v>
      </c>
      <c r="R25" s="25">
        <f t="shared" si="6"/>
        <v>5</v>
      </c>
      <c r="S25" s="26">
        <v>4.5199999999999996</v>
      </c>
      <c r="T25" s="26">
        <v>4.24</v>
      </c>
      <c r="U25" s="26">
        <f t="shared" si="7"/>
        <v>38.76</v>
      </c>
      <c r="V25">
        <f>(Tabla1[[#This Row],[Total]]/$U$53)*1000</f>
        <v>23.877966178746505</v>
      </c>
      <c r="W25" s="26">
        <f>ROUND(Tabla1[[#This Row],[Normalización]],0)</f>
        <v>24</v>
      </c>
    </row>
    <row r="26" spans="1:23" ht="57.6" x14ac:dyDescent="0.3">
      <c r="A26" s="22">
        <v>25</v>
      </c>
      <c r="B26" s="23" t="s">
        <v>184</v>
      </c>
      <c r="C26" s="24" t="s">
        <v>179</v>
      </c>
      <c r="D26" s="23" t="s">
        <v>180</v>
      </c>
      <c r="E26" s="24" t="s">
        <v>190</v>
      </c>
      <c r="F26" s="20" t="s">
        <v>267</v>
      </c>
      <c r="G26" s="23" t="s">
        <v>239</v>
      </c>
      <c r="H26" s="23" t="s">
        <v>239</v>
      </c>
      <c r="I26" s="23" t="s">
        <v>239</v>
      </c>
      <c r="J26" s="23" t="s">
        <v>239</v>
      </c>
      <c r="K26" s="23" t="s">
        <v>239</v>
      </c>
      <c r="L26" s="23" t="s">
        <v>239</v>
      </c>
      <c r="M26" s="25">
        <f t="shared" si="1"/>
        <v>5</v>
      </c>
      <c r="N26" s="25">
        <f t="shared" si="2"/>
        <v>5</v>
      </c>
      <c r="O26" s="25">
        <f t="shared" si="3"/>
        <v>5</v>
      </c>
      <c r="P26" s="25">
        <f t="shared" si="4"/>
        <v>5</v>
      </c>
      <c r="Q26" s="25">
        <f t="shared" si="5"/>
        <v>5</v>
      </c>
      <c r="R26" s="25">
        <f t="shared" si="6"/>
        <v>5</v>
      </c>
      <c r="S26" s="26">
        <v>4.5199999999999996</v>
      </c>
      <c r="T26" s="26">
        <v>4.24</v>
      </c>
      <c r="U26" s="26">
        <f t="shared" si="7"/>
        <v>38.76</v>
      </c>
      <c r="V26">
        <f>(Tabla1[[#This Row],[Total]]/$U$53)*1000</f>
        <v>23.877966178746505</v>
      </c>
      <c r="W26" s="26">
        <f>ROUND(Tabla1[[#This Row],[Normalización]],0)</f>
        <v>24</v>
      </c>
    </row>
    <row r="27" spans="1:23" ht="57.6" x14ac:dyDescent="0.3">
      <c r="A27" s="22">
        <v>26</v>
      </c>
      <c r="B27" s="23" t="s">
        <v>184</v>
      </c>
      <c r="C27" s="24" t="s">
        <v>179</v>
      </c>
      <c r="D27" s="23" t="s">
        <v>180</v>
      </c>
      <c r="E27" s="24" t="s">
        <v>191</v>
      </c>
      <c r="F27" s="20" t="s">
        <v>268</v>
      </c>
      <c r="G27" s="23" t="s">
        <v>239</v>
      </c>
      <c r="H27" s="23" t="s">
        <v>239</v>
      </c>
      <c r="I27" s="23" t="s">
        <v>239</v>
      </c>
      <c r="J27" s="23" t="s">
        <v>239</v>
      </c>
      <c r="K27" s="23" t="s">
        <v>239</v>
      </c>
      <c r="L27" s="23" t="s">
        <v>239</v>
      </c>
      <c r="M27" s="25">
        <f t="shared" si="1"/>
        <v>5</v>
      </c>
      <c r="N27" s="25">
        <f t="shared" si="2"/>
        <v>5</v>
      </c>
      <c r="O27" s="25">
        <f t="shared" si="3"/>
        <v>5</v>
      </c>
      <c r="P27" s="25">
        <f t="shared" si="4"/>
        <v>5</v>
      </c>
      <c r="Q27" s="25">
        <f t="shared" si="5"/>
        <v>5</v>
      </c>
      <c r="R27" s="25">
        <f t="shared" si="6"/>
        <v>5</v>
      </c>
      <c r="S27" s="26">
        <v>4.5199999999999996</v>
      </c>
      <c r="T27" s="26">
        <v>4.24</v>
      </c>
      <c r="U27" s="26">
        <f t="shared" si="7"/>
        <v>38.76</v>
      </c>
      <c r="V27">
        <f>(Tabla1[[#This Row],[Total]]/$U$53)*1000</f>
        <v>23.877966178746505</v>
      </c>
      <c r="W27" s="26">
        <f>ROUND(Tabla1[[#This Row],[Normalización]],0)</f>
        <v>24</v>
      </c>
    </row>
    <row r="28" spans="1:23" ht="43.2" x14ac:dyDescent="0.3">
      <c r="A28" s="22">
        <v>27</v>
      </c>
      <c r="B28" s="23" t="s">
        <v>192</v>
      </c>
      <c r="C28" s="24" t="s">
        <v>179</v>
      </c>
      <c r="D28" s="23" t="s">
        <v>185</v>
      </c>
      <c r="E28" s="23" t="s">
        <v>193</v>
      </c>
      <c r="F28" s="20" t="s">
        <v>269</v>
      </c>
      <c r="G28" s="23" t="s">
        <v>70</v>
      </c>
      <c r="H28" s="23" t="s">
        <v>239</v>
      </c>
      <c r="I28" s="23" t="s">
        <v>70</v>
      </c>
      <c r="J28" s="23" t="s">
        <v>70</v>
      </c>
      <c r="K28" s="23" t="s">
        <v>239</v>
      </c>
      <c r="L28" s="23" t="s">
        <v>70</v>
      </c>
      <c r="M28" s="25">
        <f t="shared" si="1"/>
        <v>1</v>
      </c>
      <c r="N28" s="25">
        <f t="shared" si="2"/>
        <v>5</v>
      </c>
      <c r="O28" s="25">
        <f t="shared" si="3"/>
        <v>1</v>
      </c>
      <c r="P28" s="25">
        <f t="shared" si="4"/>
        <v>1</v>
      </c>
      <c r="Q28" s="25">
        <f t="shared" si="5"/>
        <v>5</v>
      </c>
      <c r="R28" s="25">
        <f t="shared" si="6"/>
        <v>1</v>
      </c>
      <c r="S28" s="26">
        <v>4.5199999999999996</v>
      </c>
      <c r="T28" s="26">
        <v>4.18</v>
      </c>
      <c r="U28" s="26">
        <f t="shared" si="7"/>
        <v>22.7</v>
      </c>
      <c r="V28">
        <f>(Tabla1[[#This Row],[Total]]/$U$53)*1000</f>
        <v>13.984257798182293</v>
      </c>
      <c r="W28" s="26">
        <f>ROUND(Tabla1[[#This Row],[Normalización]],0)</f>
        <v>14</v>
      </c>
    </row>
    <row r="29" spans="1:23" ht="43.2" x14ac:dyDescent="0.3">
      <c r="A29" s="22">
        <v>28</v>
      </c>
      <c r="B29" s="23" t="s">
        <v>192</v>
      </c>
      <c r="C29" s="24" t="s">
        <v>179</v>
      </c>
      <c r="D29" s="23" t="s">
        <v>185</v>
      </c>
      <c r="E29" s="23" t="s">
        <v>194</v>
      </c>
      <c r="F29" s="20" t="s">
        <v>270</v>
      </c>
      <c r="G29" s="23" t="s">
        <v>239</v>
      </c>
      <c r="H29" s="23" t="s">
        <v>70</v>
      </c>
      <c r="I29" s="23" t="s">
        <v>70</v>
      </c>
      <c r="J29" s="23" t="s">
        <v>70</v>
      </c>
      <c r="K29" s="23" t="s">
        <v>239</v>
      </c>
      <c r="L29" s="23" t="s">
        <v>70</v>
      </c>
      <c r="M29" s="25">
        <f t="shared" si="1"/>
        <v>5</v>
      </c>
      <c r="N29" s="25">
        <f t="shared" si="2"/>
        <v>1</v>
      </c>
      <c r="O29" s="25">
        <f t="shared" si="3"/>
        <v>1</v>
      </c>
      <c r="P29" s="25">
        <f t="shared" si="4"/>
        <v>1</v>
      </c>
      <c r="Q29" s="25">
        <f t="shared" si="5"/>
        <v>5</v>
      </c>
      <c r="R29" s="25">
        <f t="shared" si="6"/>
        <v>1</v>
      </c>
      <c r="S29" s="26">
        <v>4.5199999999999996</v>
      </c>
      <c r="T29" s="26">
        <v>4.18</v>
      </c>
      <c r="U29" s="26">
        <f t="shared" si="7"/>
        <v>22.7</v>
      </c>
      <c r="V29">
        <f>(Tabla1[[#This Row],[Total]]/$U$53)*1000</f>
        <v>13.984257798182293</v>
      </c>
      <c r="W29" s="26">
        <f>ROUND(Tabla1[[#This Row],[Normalización]],0)</f>
        <v>14</v>
      </c>
    </row>
    <row r="30" spans="1:23" ht="43.2" x14ac:dyDescent="0.3">
      <c r="A30" s="22">
        <v>29</v>
      </c>
      <c r="B30" s="23" t="s">
        <v>192</v>
      </c>
      <c r="C30" s="24" t="s">
        <v>179</v>
      </c>
      <c r="D30" s="23" t="s">
        <v>185</v>
      </c>
      <c r="E30" s="23" t="s">
        <v>195</v>
      </c>
      <c r="F30" s="20" t="s">
        <v>271</v>
      </c>
      <c r="G30" s="23" t="s">
        <v>239</v>
      </c>
      <c r="H30" s="23" t="s">
        <v>70</v>
      </c>
      <c r="I30" s="23" t="s">
        <v>70</v>
      </c>
      <c r="J30" s="23" t="s">
        <v>239</v>
      </c>
      <c r="K30" s="23" t="s">
        <v>239</v>
      </c>
      <c r="L30" s="23" t="s">
        <v>70</v>
      </c>
      <c r="M30" s="25">
        <f t="shared" si="1"/>
        <v>5</v>
      </c>
      <c r="N30" s="25">
        <f t="shared" si="2"/>
        <v>1</v>
      </c>
      <c r="O30" s="25">
        <f t="shared" si="3"/>
        <v>1</v>
      </c>
      <c r="P30" s="25">
        <f t="shared" si="4"/>
        <v>5</v>
      </c>
      <c r="Q30" s="25">
        <f t="shared" si="5"/>
        <v>5</v>
      </c>
      <c r="R30" s="25">
        <f t="shared" si="6"/>
        <v>1</v>
      </c>
      <c r="S30" s="26">
        <v>4.5199999999999996</v>
      </c>
      <c r="T30" s="26">
        <v>4.34</v>
      </c>
      <c r="U30" s="26">
        <f t="shared" si="7"/>
        <v>26.86</v>
      </c>
      <c r="V30">
        <f>(Tabla1[[#This Row],[Total]]/$U$53)*1000</f>
        <v>16.547011650183979</v>
      </c>
      <c r="W30" s="26">
        <f>ROUND(Tabla1[[#This Row],[Normalización]],0)</f>
        <v>17</v>
      </c>
    </row>
    <row r="31" spans="1:23" ht="43.2" x14ac:dyDescent="0.3">
      <c r="A31" s="22">
        <v>30</v>
      </c>
      <c r="B31" s="23" t="s">
        <v>192</v>
      </c>
      <c r="C31" s="24" t="s">
        <v>179</v>
      </c>
      <c r="D31" s="23" t="s">
        <v>185</v>
      </c>
      <c r="E31" s="23" t="s">
        <v>196</v>
      </c>
      <c r="F31" s="20" t="s">
        <v>272</v>
      </c>
      <c r="G31" s="23" t="s">
        <v>70</v>
      </c>
      <c r="H31" s="23" t="s">
        <v>239</v>
      </c>
      <c r="I31" s="23" t="s">
        <v>70</v>
      </c>
      <c r="J31" s="23" t="s">
        <v>239</v>
      </c>
      <c r="K31" s="23" t="s">
        <v>239</v>
      </c>
      <c r="L31" s="23" t="s">
        <v>70</v>
      </c>
      <c r="M31" s="25">
        <f t="shared" si="1"/>
        <v>1</v>
      </c>
      <c r="N31" s="25">
        <f t="shared" si="2"/>
        <v>5</v>
      </c>
      <c r="O31" s="25">
        <f t="shared" si="3"/>
        <v>1</v>
      </c>
      <c r="P31" s="25">
        <f t="shared" si="4"/>
        <v>5</v>
      </c>
      <c r="Q31" s="25">
        <f t="shared" si="5"/>
        <v>5</v>
      </c>
      <c r="R31" s="25">
        <f t="shared" si="6"/>
        <v>1</v>
      </c>
      <c r="S31" s="26">
        <v>4.5199999999999996</v>
      </c>
      <c r="T31" s="26">
        <v>4.34</v>
      </c>
      <c r="U31" s="26">
        <f t="shared" si="7"/>
        <v>26.86</v>
      </c>
      <c r="V31">
        <f>(Tabla1[[#This Row],[Total]]/$U$53)*1000</f>
        <v>16.547011650183979</v>
      </c>
      <c r="W31" s="26">
        <f>ROUND(Tabla1[[#This Row],[Normalización]],0)</f>
        <v>17</v>
      </c>
    </row>
    <row r="32" spans="1:23" ht="43.2" x14ac:dyDescent="0.3">
      <c r="A32" s="22">
        <v>31</v>
      </c>
      <c r="B32" s="23" t="s">
        <v>192</v>
      </c>
      <c r="C32" s="24" t="s">
        <v>179</v>
      </c>
      <c r="D32" s="23" t="s">
        <v>185</v>
      </c>
      <c r="E32" s="23" t="s">
        <v>197</v>
      </c>
      <c r="F32" s="38" t="s">
        <v>273</v>
      </c>
      <c r="G32" s="23" t="s">
        <v>239</v>
      </c>
      <c r="H32" s="23" t="s">
        <v>70</v>
      </c>
      <c r="I32" s="23" t="s">
        <v>70</v>
      </c>
      <c r="J32" s="23" t="s">
        <v>239</v>
      </c>
      <c r="K32" s="23" t="s">
        <v>239</v>
      </c>
      <c r="L32" s="23" t="s">
        <v>70</v>
      </c>
      <c r="M32" s="25">
        <f t="shared" si="1"/>
        <v>5</v>
      </c>
      <c r="N32" s="25">
        <f t="shared" si="2"/>
        <v>1</v>
      </c>
      <c r="O32" s="25">
        <f t="shared" si="3"/>
        <v>1</v>
      </c>
      <c r="P32" s="25">
        <f t="shared" si="4"/>
        <v>5</v>
      </c>
      <c r="Q32" s="25">
        <f t="shared" si="5"/>
        <v>5</v>
      </c>
      <c r="R32" s="25">
        <f t="shared" si="6"/>
        <v>1</v>
      </c>
      <c r="S32" s="26">
        <v>4.5199999999999996</v>
      </c>
      <c r="T32" s="26">
        <v>4.28</v>
      </c>
      <c r="U32" s="26">
        <f t="shared" si="7"/>
        <v>26.8</v>
      </c>
      <c r="V32">
        <f>(Tabla1[[#This Row],[Total]]/$U$53)*1000</f>
        <v>16.510048854241649</v>
      </c>
      <c r="W32" s="26">
        <f>ROUND(Tabla1[[#This Row],[Normalización]],0)</f>
        <v>17</v>
      </c>
    </row>
    <row r="33" spans="1:23" ht="43.2" x14ac:dyDescent="0.3">
      <c r="A33" s="22">
        <v>32</v>
      </c>
      <c r="B33" s="23" t="s">
        <v>192</v>
      </c>
      <c r="C33" s="24"/>
      <c r="D33" s="23" t="s">
        <v>149</v>
      </c>
      <c r="E33" s="23" t="s">
        <v>198</v>
      </c>
      <c r="F33" s="38" t="s">
        <v>274</v>
      </c>
      <c r="G33" s="23" t="s">
        <v>239</v>
      </c>
      <c r="H33" s="23" t="s">
        <v>70</v>
      </c>
      <c r="I33" s="23" t="s">
        <v>70</v>
      </c>
      <c r="J33" s="23" t="s">
        <v>70</v>
      </c>
      <c r="K33" s="23" t="s">
        <v>239</v>
      </c>
      <c r="L33" s="23" t="s">
        <v>239</v>
      </c>
      <c r="M33" s="25">
        <f t="shared" si="1"/>
        <v>5</v>
      </c>
      <c r="N33" s="25">
        <f t="shared" si="2"/>
        <v>1</v>
      </c>
      <c r="O33" s="25">
        <f t="shared" si="3"/>
        <v>1</v>
      </c>
      <c r="P33" s="25">
        <f t="shared" si="4"/>
        <v>1</v>
      </c>
      <c r="Q33" s="25">
        <f t="shared" si="5"/>
        <v>5</v>
      </c>
      <c r="R33" s="25">
        <f t="shared" si="6"/>
        <v>5</v>
      </c>
      <c r="S33" s="26">
        <v>4.5199999999999996</v>
      </c>
      <c r="T33" s="27">
        <v>4.5199999999999996</v>
      </c>
      <c r="U33" s="26">
        <f t="shared" si="7"/>
        <v>27.04</v>
      </c>
      <c r="V33">
        <f>(Tabla1[[#This Row],[Total]]/$U$53)*1000</f>
        <v>16.657900038010975</v>
      </c>
      <c r="W33" s="26">
        <f>ROUND(Tabla1[[#This Row],[Normalización]],0)</f>
        <v>17</v>
      </c>
    </row>
    <row r="34" spans="1:23" x14ac:dyDescent="0.3">
      <c r="A34" s="22">
        <v>33</v>
      </c>
      <c r="B34" s="23" t="s">
        <v>199</v>
      </c>
      <c r="C34" s="24" t="s">
        <v>155</v>
      </c>
      <c r="D34" s="23" t="s">
        <v>171</v>
      </c>
      <c r="E34" s="23" t="s">
        <v>200</v>
      </c>
      <c r="F34" s="20" t="s">
        <v>275</v>
      </c>
      <c r="G34" s="23" t="s">
        <v>239</v>
      </c>
      <c r="H34" s="23" t="s">
        <v>239</v>
      </c>
      <c r="I34" s="23" t="s">
        <v>239</v>
      </c>
      <c r="J34" s="23" t="s">
        <v>70</v>
      </c>
      <c r="K34" s="23" t="s">
        <v>239</v>
      </c>
      <c r="L34" s="23" t="s">
        <v>239</v>
      </c>
      <c r="M34" s="25">
        <f t="shared" si="1"/>
        <v>5</v>
      </c>
      <c r="N34" s="25">
        <f t="shared" si="2"/>
        <v>5</v>
      </c>
      <c r="O34" s="25">
        <f t="shared" si="3"/>
        <v>5</v>
      </c>
      <c r="P34" s="25">
        <f t="shared" si="4"/>
        <v>1</v>
      </c>
      <c r="Q34" s="25">
        <f t="shared" si="5"/>
        <v>5</v>
      </c>
      <c r="R34" s="25">
        <f t="shared" si="6"/>
        <v>5</v>
      </c>
      <c r="S34" s="26">
        <v>4.22</v>
      </c>
      <c r="T34" s="26">
        <v>4.3449999999999998</v>
      </c>
      <c r="U34" s="26">
        <f t="shared" si="7"/>
        <v>34.564999999999998</v>
      </c>
      <c r="V34">
        <f>(Tabla1[[#This Row],[Total]]/$U$53)*1000</f>
        <v>21.293650695778453</v>
      </c>
      <c r="W34" s="26">
        <f>ROUND(Tabla1[[#This Row],[Normalización]],0)</f>
        <v>21</v>
      </c>
    </row>
    <row r="35" spans="1:23" ht="28.8" x14ac:dyDescent="0.3">
      <c r="A35" s="22">
        <v>34</v>
      </c>
      <c r="B35" s="23" t="s">
        <v>199</v>
      </c>
      <c r="C35" s="24" t="s">
        <v>155</v>
      </c>
      <c r="D35" s="23" t="s">
        <v>171</v>
      </c>
      <c r="E35" s="23" t="s">
        <v>201</v>
      </c>
      <c r="F35" s="20" t="s">
        <v>276</v>
      </c>
      <c r="G35" s="23" t="s">
        <v>70</v>
      </c>
      <c r="H35" s="23" t="s">
        <v>239</v>
      </c>
      <c r="I35" s="23" t="s">
        <v>239</v>
      </c>
      <c r="J35" s="23" t="s">
        <v>70</v>
      </c>
      <c r="K35" s="23" t="s">
        <v>239</v>
      </c>
      <c r="L35" s="23" t="s">
        <v>239</v>
      </c>
      <c r="M35" s="25">
        <f t="shared" si="1"/>
        <v>1</v>
      </c>
      <c r="N35" s="25">
        <f t="shared" si="2"/>
        <v>5</v>
      </c>
      <c r="O35" s="25">
        <f t="shared" si="3"/>
        <v>5</v>
      </c>
      <c r="P35" s="25">
        <f t="shared" si="4"/>
        <v>1</v>
      </c>
      <c r="Q35" s="25">
        <f t="shared" si="5"/>
        <v>5</v>
      </c>
      <c r="R35" s="25">
        <f t="shared" si="6"/>
        <v>5</v>
      </c>
      <c r="S35" s="26">
        <v>4.22</v>
      </c>
      <c r="T35" s="26">
        <v>4.6550000000000002</v>
      </c>
      <c r="U35" s="26">
        <f t="shared" si="7"/>
        <v>30.875</v>
      </c>
      <c r="V35">
        <f>(Tabla1[[#This Row],[Total]]/$U$53)*1000</f>
        <v>19.020438745325034</v>
      </c>
      <c r="W35" s="26">
        <f>ROUND(Tabla1[[#This Row],[Normalización]],0)</f>
        <v>19</v>
      </c>
    </row>
    <row r="36" spans="1:23" ht="43.2" x14ac:dyDescent="0.3">
      <c r="A36" s="22">
        <v>35</v>
      </c>
      <c r="B36" s="23" t="s">
        <v>199</v>
      </c>
      <c r="C36" s="24" t="s">
        <v>155</v>
      </c>
      <c r="D36" s="23" t="s">
        <v>171</v>
      </c>
      <c r="E36" s="23" t="s">
        <v>202</v>
      </c>
      <c r="F36" s="20" t="s">
        <v>277</v>
      </c>
      <c r="G36" s="23" t="s">
        <v>70</v>
      </c>
      <c r="H36" s="23" t="s">
        <v>70</v>
      </c>
      <c r="I36" s="23" t="s">
        <v>70</v>
      </c>
      <c r="J36" s="23" t="s">
        <v>70</v>
      </c>
      <c r="K36" s="23" t="s">
        <v>239</v>
      </c>
      <c r="L36" s="23" t="s">
        <v>239</v>
      </c>
      <c r="M36" s="25">
        <f t="shared" si="1"/>
        <v>1</v>
      </c>
      <c r="N36" s="25">
        <f t="shared" si="2"/>
        <v>1</v>
      </c>
      <c r="O36" s="25">
        <f t="shared" si="3"/>
        <v>1</v>
      </c>
      <c r="P36" s="25">
        <f t="shared" si="4"/>
        <v>1</v>
      </c>
      <c r="Q36" s="25">
        <f t="shared" si="5"/>
        <v>5</v>
      </c>
      <c r="R36" s="25">
        <f t="shared" si="6"/>
        <v>5</v>
      </c>
      <c r="S36" s="26">
        <v>4.22</v>
      </c>
      <c r="T36" s="26">
        <v>4.28</v>
      </c>
      <c r="U36" s="26">
        <f t="shared" si="7"/>
        <v>22.5</v>
      </c>
      <c r="V36">
        <f>(Tabla1[[#This Row],[Total]]/$U$53)*1000</f>
        <v>13.861048478374519</v>
      </c>
      <c r="W36" s="26">
        <f>ROUND(Tabla1[[#This Row],[Normalización]],0)</f>
        <v>14</v>
      </c>
    </row>
    <row r="37" spans="1:23" ht="28.8" x14ac:dyDescent="0.3">
      <c r="A37" s="22">
        <v>36</v>
      </c>
      <c r="B37" s="23" t="s">
        <v>199</v>
      </c>
      <c r="C37" s="24" t="s">
        <v>155</v>
      </c>
      <c r="D37" s="23" t="s">
        <v>171</v>
      </c>
      <c r="E37" s="23" t="s">
        <v>203</v>
      </c>
      <c r="F37" s="20" t="s">
        <v>278</v>
      </c>
      <c r="G37" s="23" t="s">
        <v>239</v>
      </c>
      <c r="H37" s="23" t="s">
        <v>70</v>
      </c>
      <c r="I37" s="23" t="s">
        <v>239</v>
      </c>
      <c r="J37" s="23" t="s">
        <v>70</v>
      </c>
      <c r="K37" s="23" t="s">
        <v>239</v>
      </c>
      <c r="L37" s="23" t="s">
        <v>70</v>
      </c>
      <c r="M37" s="25">
        <f t="shared" si="1"/>
        <v>5</v>
      </c>
      <c r="N37" s="25">
        <f t="shared" si="2"/>
        <v>1</v>
      </c>
      <c r="O37" s="25">
        <f t="shared" si="3"/>
        <v>5</v>
      </c>
      <c r="P37" s="25">
        <f t="shared" si="4"/>
        <v>1</v>
      </c>
      <c r="Q37" s="25">
        <f t="shared" si="5"/>
        <v>5</v>
      </c>
      <c r="R37" s="25">
        <f t="shared" si="6"/>
        <v>1</v>
      </c>
      <c r="S37" s="26">
        <v>4.22</v>
      </c>
      <c r="T37" s="26">
        <v>4.6900000000000004</v>
      </c>
      <c r="U37" s="26">
        <f t="shared" si="7"/>
        <v>26.91</v>
      </c>
      <c r="V37">
        <f>(Tabla1[[#This Row],[Total]]/$U$53)*1000</f>
        <v>16.577813980135925</v>
      </c>
      <c r="W37" s="26">
        <f>ROUND(Tabla1[[#This Row],[Normalización]],0)</f>
        <v>17</v>
      </c>
    </row>
    <row r="38" spans="1:23" ht="43.2" x14ac:dyDescent="0.3">
      <c r="A38" s="22">
        <v>37</v>
      </c>
      <c r="B38" s="23" t="s">
        <v>199</v>
      </c>
      <c r="C38" s="24" t="s">
        <v>155</v>
      </c>
      <c r="D38" s="23" t="s">
        <v>171</v>
      </c>
      <c r="E38" s="23" t="s">
        <v>204</v>
      </c>
      <c r="F38" s="20" t="s">
        <v>279</v>
      </c>
      <c r="G38" s="23" t="s">
        <v>70</v>
      </c>
      <c r="H38" s="23" t="s">
        <v>70</v>
      </c>
      <c r="I38" s="23" t="s">
        <v>70</v>
      </c>
      <c r="J38" s="23" t="s">
        <v>70</v>
      </c>
      <c r="K38" s="23" t="s">
        <v>239</v>
      </c>
      <c r="L38" s="23" t="s">
        <v>70</v>
      </c>
      <c r="M38" s="25">
        <f t="shared" si="1"/>
        <v>1</v>
      </c>
      <c r="N38" s="25">
        <f t="shared" si="2"/>
        <v>1</v>
      </c>
      <c r="O38" s="25">
        <f t="shared" si="3"/>
        <v>1</v>
      </c>
      <c r="P38" s="25">
        <f t="shared" si="4"/>
        <v>1</v>
      </c>
      <c r="Q38" s="25">
        <f t="shared" si="5"/>
        <v>5</v>
      </c>
      <c r="R38" s="25">
        <f t="shared" si="6"/>
        <v>1</v>
      </c>
      <c r="S38" s="26">
        <v>4.22</v>
      </c>
      <c r="T38" s="26">
        <v>4.3099999999999996</v>
      </c>
      <c r="U38" s="26">
        <f t="shared" si="7"/>
        <v>18.529999999999998</v>
      </c>
      <c r="V38">
        <f>(Tabla1[[#This Row],[Total]]/$U$53)*1000</f>
        <v>11.415343480190213</v>
      </c>
      <c r="W38" s="26">
        <f>ROUND(Tabla1[[#This Row],[Normalización]],0)</f>
        <v>11</v>
      </c>
    </row>
    <row r="39" spans="1:23" ht="43.2" x14ac:dyDescent="0.3">
      <c r="A39" s="22">
        <v>38</v>
      </c>
      <c r="B39" s="23" t="s">
        <v>205</v>
      </c>
      <c r="C39" s="24" t="s">
        <v>149</v>
      </c>
      <c r="D39" s="23" t="s">
        <v>166</v>
      </c>
      <c r="E39" s="23" t="s">
        <v>206</v>
      </c>
      <c r="F39" s="38" t="s">
        <v>280</v>
      </c>
      <c r="G39" s="23" t="s">
        <v>239</v>
      </c>
      <c r="H39" s="23" t="s">
        <v>239</v>
      </c>
      <c r="I39" s="23" t="s">
        <v>70</v>
      </c>
      <c r="J39" s="23" t="s">
        <v>70</v>
      </c>
      <c r="K39" s="23" t="s">
        <v>70</v>
      </c>
      <c r="L39" s="23" t="s">
        <v>70</v>
      </c>
      <c r="M39" s="25">
        <f t="shared" si="1"/>
        <v>5</v>
      </c>
      <c r="N39" s="25">
        <f t="shared" si="2"/>
        <v>5</v>
      </c>
      <c r="O39" s="25">
        <f t="shared" si="3"/>
        <v>1</v>
      </c>
      <c r="P39" s="25">
        <f t="shared" si="4"/>
        <v>1</v>
      </c>
      <c r="Q39" s="25">
        <f t="shared" si="5"/>
        <v>1</v>
      </c>
      <c r="R39" s="25">
        <f t="shared" si="6"/>
        <v>1</v>
      </c>
      <c r="S39" s="26">
        <v>4.2300000000000004</v>
      </c>
      <c r="T39" s="26">
        <v>4.6100000000000003</v>
      </c>
      <c r="U39" s="26">
        <f t="shared" si="7"/>
        <v>22.84</v>
      </c>
      <c r="V39">
        <f>(Tabla1[[#This Row],[Total]]/$U$53)*1000</f>
        <v>14.070504322047734</v>
      </c>
      <c r="W39" s="26">
        <f>ROUND(Tabla1[[#This Row],[Normalización]],0)</f>
        <v>14</v>
      </c>
    </row>
    <row r="40" spans="1:23" ht="43.2" x14ac:dyDescent="0.3">
      <c r="A40" s="22">
        <v>39</v>
      </c>
      <c r="B40" s="23" t="s">
        <v>205</v>
      </c>
      <c r="C40" s="24" t="s">
        <v>149</v>
      </c>
      <c r="D40" s="23" t="s">
        <v>166</v>
      </c>
      <c r="E40" s="23" t="s">
        <v>207</v>
      </c>
      <c r="F40" s="38" t="s">
        <v>281</v>
      </c>
      <c r="G40" s="23" t="s">
        <v>239</v>
      </c>
      <c r="H40" s="23" t="s">
        <v>239</v>
      </c>
      <c r="I40" s="23" t="s">
        <v>239</v>
      </c>
      <c r="J40" s="23" t="s">
        <v>239</v>
      </c>
      <c r="K40" s="23" t="s">
        <v>239</v>
      </c>
      <c r="L40" s="23" t="s">
        <v>239</v>
      </c>
      <c r="M40" s="25">
        <f t="shared" si="1"/>
        <v>5</v>
      </c>
      <c r="N40" s="25">
        <f t="shared" si="2"/>
        <v>5</v>
      </c>
      <c r="O40" s="25">
        <f t="shared" si="3"/>
        <v>5</v>
      </c>
      <c r="P40" s="25">
        <f t="shared" si="4"/>
        <v>5</v>
      </c>
      <c r="Q40" s="25">
        <f t="shared" si="5"/>
        <v>5</v>
      </c>
      <c r="R40" s="25">
        <f t="shared" si="6"/>
        <v>5</v>
      </c>
      <c r="S40" s="26">
        <v>4.2300000000000004</v>
      </c>
      <c r="T40" s="26">
        <v>4.43</v>
      </c>
      <c r="U40" s="26">
        <f t="shared" si="7"/>
        <v>38.660000000000004</v>
      </c>
      <c r="V40">
        <f>(Tabla1[[#This Row],[Total]]/$U$53)*1000</f>
        <v>23.816361518842619</v>
      </c>
      <c r="W40" s="26">
        <f>ROUND(Tabla1[[#This Row],[Normalización]],0)</f>
        <v>24</v>
      </c>
    </row>
    <row r="41" spans="1:23" ht="43.2" x14ac:dyDescent="0.3">
      <c r="A41" s="22">
        <v>40</v>
      </c>
      <c r="B41" s="23" t="s">
        <v>205</v>
      </c>
      <c r="C41" s="24" t="s">
        <v>179</v>
      </c>
      <c r="D41" s="23" t="s">
        <v>180</v>
      </c>
      <c r="E41" s="23" t="s">
        <v>208</v>
      </c>
      <c r="F41" s="20" t="s">
        <v>282</v>
      </c>
      <c r="G41" s="23" t="s">
        <v>239</v>
      </c>
      <c r="H41" s="23" t="s">
        <v>239</v>
      </c>
      <c r="I41" s="23" t="s">
        <v>70</v>
      </c>
      <c r="J41" s="23" t="s">
        <v>239</v>
      </c>
      <c r="K41" s="23" t="s">
        <v>239</v>
      </c>
      <c r="L41" s="23" t="s">
        <v>239</v>
      </c>
      <c r="M41" s="25">
        <f t="shared" si="1"/>
        <v>5</v>
      </c>
      <c r="N41" s="25">
        <f t="shared" si="2"/>
        <v>5</v>
      </c>
      <c r="O41" s="25">
        <f t="shared" si="3"/>
        <v>1</v>
      </c>
      <c r="P41" s="25">
        <f t="shared" si="4"/>
        <v>5</v>
      </c>
      <c r="Q41" s="25">
        <f t="shared" si="5"/>
        <v>5</v>
      </c>
      <c r="R41" s="25">
        <f t="shared" si="6"/>
        <v>5</v>
      </c>
      <c r="S41" s="26">
        <v>4.2300000000000004</v>
      </c>
      <c r="T41" s="27">
        <v>4.2300000000000004</v>
      </c>
      <c r="U41" s="26">
        <f t="shared" si="7"/>
        <v>34.46</v>
      </c>
      <c r="V41">
        <f>(Tabla1[[#This Row],[Total]]/$U$53)*1000</f>
        <v>21.228965802879372</v>
      </c>
      <c r="W41" s="26">
        <f>ROUND(Tabla1[[#This Row],[Normalización]],0)</f>
        <v>21</v>
      </c>
    </row>
    <row r="42" spans="1:23" ht="43.2" x14ac:dyDescent="0.3">
      <c r="A42" s="22">
        <v>41</v>
      </c>
      <c r="B42" s="23" t="s">
        <v>205</v>
      </c>
      <c r="C42" s="24" t="s">
        <v>155</v>
      </c>
      <c r="D42" s="23" t="s">
        <v>209</v>
      </c>
      <c r="E42" s="23" t="s">
        <v>210</v>
      </c>
      <c r="F42" s="20" t="s">
        <v>283</v>
      </c>
      <c r="G42" s="23" t="s">
        <v>239</v>
      </c>
      <c r="H42" s="23" t="s">
        <v>239</v>
      </c>
      <c r="I42" s="23" t="s">
        <v>70</v>
      </c>
      <c r="J42" s="23" t="s">
        <v>239</v>
      </c>
      <c r="K42" s="23" t="s">
        <v>239</v>
      </c>
      <c r="L42" s="23" t="s">
        <v>239</v>
      </c>
      <c r="M42" s="25">
        <f t="shared" si="1"/>
        <v>5</v>
      </c>
      <c r="N42" s="25">
        <f t="shared" si="2"/>
        <v>5</v>
      </c>
      <c r="O42" s="25">
        <f t="shared" si="3"/>
        <v>1</v>
      </c>
      <c r="P42" s="25">
        <f t="shared" si="4"/>
        <v>5</v>
      </c>
      <c r="Q42" s="25">
        <f t="shared" si="5"/>
        <v>5</v>
      </c>
      <c r="R42" s="25">
        <f t="shared" si="6"/>
        <v>5</v>
      </c>
      <c r="S42" s="26">
        <v>4.2300000000000004</v>
      </c>
      <c r="T42" s="26">
        <v>4.25</v>
      </c>
      <c r="U42" s="26">
        <f t="shared" si="7"/>
        <v>34.480000000000004</v>
      </c>
      <c r="V42">
        <f>(Tabla1[[#This Row],[Total]]/$U$53)*1000</f>
        <v>21.241286734860154</v>
      </c>
      <c r="W42" s="26">
        <f>ROUND(Tabla1[[#This Row],[Normalización]],0)</f>
        <v>21</v>
      </c>
    </row>
    <row r="43" spans="1:23" ht="43.2" x14ac:dyDescent="0.3">
      <c r="A43" s="22">
        <v>42</v>
      </c>
      <c r="B43" s="23" t="s">
        <v>205</v>
      </c>
      <c r="C43" s="24" t="s">
        <v>155</v>
      </c>
      <c r="D43" s="23" t="s">
        <v>211</v>
      </c>
      <c r="E43" s="23" t="s">
        <v>212</v>
      </c>
      <c r="F43" s="20" t="s">
        <v>284</v>
      </c>
      <c r="G43" s="23" t="s">
        <v>239</v>
      </c>
      <c r="H43" s="23" t="s">
        <v>239</v>
      </c>
      <c r="I43" s="23" t="s">
        <v>70</v>
      </c>
      <c r="J43" s="23" t="s">
        <v>239</v>
      </c>
      <c r="K43" s="23" t="s">
        <v>239</v>
      </c>
      <c r="L43" s="23" t="s">
        <v>239</v>
      </c>
      <c r="M43" s="25">
        <f t="shared" si="1"/>
        <v>5</v>
      </c>
      <c r="N43" s="25">
        <f t="shared" si="2"/>
        <v>5</v>
      </c>
      <c r="O43" s="25">
        <f t="shared" si="3"/>
        <v>1</v>
      </c>
      <c r="P43" s="25">
        <f t="shared" si="4"/>
        <v>5</v>
      </c>
      <c r="Q43" s="25">
        <f t="shared" si="5"/>
        <v>5</v>
      </c>
      <c r="R43" s="25">
        <f t="shared" si="6"/>
        <v>5</v>
      </c>
      <c r="S43" s="26">
        <v>4.2300000000000004</v>
      </c>
      <c r="T43" s="26">
        <v>4.32</v>
      </c>
      <c r="U43" s="26">
        <f t="shared" si="7"/>
        <v>34.549999999999997</v>
      </c>
      <c r="V43">
        <f>(Tabla1[[#This Row],[Total]]/$U$53)*1000</f>
        <v>21.284409996792871</v>
      </c>
      <c r="W43" s="26">
        <f>ROUND(Tabla1[[#This Row],[Normalización]],0)</f>
        <v>21</v>
      </c>
    </row>
    <row r="44" spans="1:23" ht="43.2" x14ac:dyDescent="0.3">
      <c r="A44" s="22">
        <v>43</v>
      </c>
      <c r="B44" s="23" t="s">
        <v>205</v>
      </c>
      <c r="C44" s="24" t="s">
        <v>155</v>
      </c>
      <c r="D44" s="23" t="s">
        <v>209</v>
      </c>
      <c r="E44" s="23" t="s">
        <v>213</v>
      </c>
      <c r="F44" s="20" t="s">
        <v>285</v>
      </c>
      <c r="G44" s="23" t="s">
        <v>239</v>
      </c>
      <c r="H44" s="23" t="s">
        <v>239</v>
      </c>
      <c r="I44" s="23" t="s">
        <v>70</v>
      </c>
      <c r="J44" s="23" t="s">
        <v>239</v>
      </c>
      <c r="K44" s="23" t="s">
        <v>239</v>
      </c>
      <c r="L44" s="23" t="s">
        <v>239</v>
      </c>
      <c r="M44" s="25">
        <f t="shared" si="1"/>
        <v>5</v>
      </c>
      <c r="N44" s="25">
        <f t="shared" si="2"/>
        <v>5</v>
      </c>
      <c r="O44" s="25">
        <f t="shared" si="3"/>
        <v>1</v>
      </c>
      <c r="P44" s="25">
        <f t="shared" si="4"/>
        <v>5</v>
      </c>
      <c r="Q44" s="25">
        <f t="shared" si="5"/>
        <v>5</v>
      </c>
      <c r="R44" s="25">
        <f t="shared" si="6"/>
        <v>5</v>
      </c>
      <c r="S44" s="26">
        <v>4.2300000000000004</v>
      </c>
      <c r="T44" s="26">
        <v>4.25</v>
      </c>
      <c r="U44" s="26">
        <f t="shared" si="7"/>
        <v>34.480000000000004</v>
      </c>
      <c r="V44">
        <f>(Tabla1[[#This Row],[Total]]/$U$53)*1000</f>
        <v>21.241286734860154</v>
      </c>
      <c r="W44" s="26">
        <f>ROUND(Tabla1[[#This Row],[Normalización]],0)</f>
        <v>21</v>
      </c>
    </row>
    <row r="45" spans="1:23" ht="57.6" x14ac:dyDescent="0.3">
      <c r="A45" s="22">
        <v>44</v>
      </c>
      <c r="B45" s="23" t="s">
        <v>214</v>
      </c>
      <c r="C45" s="24" t="s">
        <v>145</v>
      </c>
      <c r="D45" s="23" t="s">
        <v>215</v>
      </c>
      <c r="E45" s="23" t="s">
        <v>216</v>
      </c>
      <c r="F45" s="20" t="s">
        <v>286</v>
      </c>
      <c r="G45" s="23" t="s">
        <v>239</v>
      </c>
      <c r="H45" s="23" t="s">
        <v>239</v>
      </c>
      <c r="I45" s="23" t="s">
        <v>239</v>
      </c>
      <c r="J45" s="23" t="s">
        <v>239</v>
      </c>
      <c r="K45" s="23" t="s">
        <v>239</v>
      </c>
      <c r="L45" s="23" t="s">
        <v>239</v>
      </c>
      <c r="M45" s="25">
        <f t="shared" si="1"/>
        <v>5</v>
      </c>
      <c r="N45" s="25">
        <f t="shared" si="2"/>
        <v>5</v>
      </c>
      <c r="O45" s="25">
        <f t="shared" si="3"/>
        <v>5</v>
      </c>
      <c r="P45" s="25">
        <f t="shared" si="4"/>
        <v>5</v>
      </c>
      <c r="Q45" s="25">
        <f t="shared" si="5"/>
        <v>5</v>
      </c>
      <c r="R45" s="25">
        <f t="shared" si="6"/>
        <v>5</v>
      </c>
      <c r="S45" s="26">
        <v>4.12</v>
      </c>
      <c r="T45" s="26">
        <v>4.34</v>
      </c>
      <c r="U45" s="26">
        <f t="shared" si="7"/>
        <v>38.459999999999994</v>
      </c>
      <c r="V45">
        <f>(Tabla1[[#This Row],[Total]]/$U$53)*1000</f>
        <v>23.693152199034838</v>
      </c>
      <c r="W45" s="26">
        <f>ROUND(Tabla1[[#This Row],[Normalización]],0)</f>
        <v>24</v>
      </c>
    </row>
    <row r="46" spans="1:23" ht="72" x14ac:dyDescent="0.3">
      <c r="A46" s="22">
        <v>45</v>
      </c>
      <c r="B46" s="23" t="s">
        <v>214</v>
      </c>
      <c r="C46" s="24" t="s">
        <v>145</v>
      </c>
      <c r="D46" s="23" t="s">
        <v>215</v>
      </c>
      <c r="E46" s="23" t="s">
        <v>217</v>
      </c>
      <c r="F46" s="20" t="s">
        <v>287</v>
      </c>
      <c r="G46" s="23" t="s">
        <v>239</v>
      </c>
      <c r="H46" s="23" t="s">
        <v>239</v>
      </c>
      <c r="I46" s="23" t="s">
        <v>239</v>
      </c>
      <c r="J46" s="23" t="s">
        <v>239</v>
      </c>
      <c r="K46" s="23" t="s">
        <v>239</v>
      </c>
      <c r="L46" s="23" t="s">
        <v>239</v>
      </c>
      <c r="M46" s="25">
        <f t="shared" si="1"/>
        <v>5</v>
      </c>
      <c r="N46" s="25">
        <f t="shared" si="2"/>
        <v>5</v>
      </c>
      <c r="O46" s="25">
        <f t="shared" si="3"/>
        <v>5</v>
      </c>
      <c r="P46" s="25">
        <f t="shared" si="4"/>
        <v>5</v>
      </c>
      <c r="Q46" s="25">
        <f t="shared" si="5"/>
        <v>5</v>
      </c>
      <c r="R46" s="25">
        <f t="shared" si="6"/>
        <v>5</v>
      </c>
      <c r="S46" s="26">
        <v>4.12</v>
      </c>
      <c r="T46" s="27">
        <v>4.12</v>
      </c>
      <c r="U46" s="26">
        <f t="shared" si="7"/>
        <v>38.239999999999995</v>
      </c>
      <c r="V46">
        <f>(Tabla1[[#This Row],[Total]]/$U$53)*1000</f>
        <v>23.55762194724629</v>
      </c>
      <c r="W46" s="26">
        <f>ROUND(Tabla1[[#This Row],[Normalización]],0)</f>
        <v>24</v>
      </c>
    </row>
    <row r="47" spans="1:23" ht="28.8" x14ac:dyDescent="0.3">
      <c r="A47" s="22">
        <v>46</v>
      </c>
      <c r="B47" s="23" t="s">
        <v>214</v>
      </c>
      <c r="C47" s="24" t="s">
        <v>145</v>
      </c>
      <c r="D47" s="23" t="s">
        <v>218</v>
      </c>
      <c r="E47" s="23" t="s">
        <v>219</v>
      </c>
      <c r="F47" s="20" t="s">
        <v>288</v>
      </c>
      <c r="G47" s="23" t="s">
        <v>239</v>
      </c>
      <c r="H47" s="23" t="s">
        <v>239</v>
      </c>
      <c r="I47" s="23" t="s">
        <v>239</v>
      </c>
      <c r="J47" s="23" t="s">
        <v>239</v>
      </c>
      <c r="K47" s="23" t="s">
        <v>70</v>
      </c>
      <c r="L47" s="23" t="s">
        <v>239</v>
      </c>
      <c r="M47" s="25">
        <f t="shared" si="1"/>
        <v>5</v>
      </c>
      <c r="N47" s="25">
        <f t="shared" si="2"/>
        <v>5</v>
      </c>
      <c r="O47" s="25">
        <f t="shared" si="3"/>
        <v>5</v>
      </c>
      <c r="P47" s="25">
        <f t="shared" si="4"/>
        <v>5</v>
      </c>
      <c r="Q47" s="25">
        <f t="shared" si="5"/>
        <v>1</v>
      </c>
      <c r="R47" s="25">
        <f t="shared" si="6"/>
        <v>5</v>
      </c>
      <c r="S47" s="26">
        <v>4.12</v>
      </c>
      <c r="T47" s="26">
        <v>4.43</v>
      </c>
      <c r="U47" s="26">
        <f t="shared" si="7"/>
        <v>34.549999999999997</v>
      </c>
      <c r="V47">
        <f>(Tabla1[[#This Row],[Total]]/$U$53)*1000</f>
        <v>21.284409996792871</v>
      </c>
      <c r="W47" s="26">
        <f>ROUND(Tabla1[[#This Row],[Normalización]],0)</f>
        <v>21</v>
      </c>
    </row>
    <row r="48" spans="1:23" ht="43.2" x14ac:dyDescent="0.3">
      <c r="A48" s="22">
        <v>47</v>
      </c>
      <c r="B48" s="23" t="s">
        <v>214</v>
      </c>
      <c r="C48" s="24" t="s">
        <v>149</v>
      </c>
      <c r="D48" s="23" t="s">
        <v>220</v>
      </c>
      <c r="E48" s="23" t="s">
        <v>221</v>
      </c>
      <c r="F48" s="20" t="s">
        <v>289</v>
      </c>
      <c r="G48" s="23" t="s">
        <v>239</v>
      </c>
      <c r="H48" s="23" t="s">
        <v>70</v>
      </c>
      <c r="I48" s="23" t="s">
        <v>239</v>
      </c>
      <c r="J48" s="23" t="s">
        <v>70</v>
      </c>
      <c r="K48" s="23" t="s">
        <v>70</v>
      </c>
      <c r="L48" s="23" t="s">
        <v>70</v>
      </c>
      <c r="M48" s="25">
        <f t="shared" si="1"/>
        <v>5</v>
      </c>
      <c r="N48" s="25">
        <f t="shared" si="2"/>
        <v>1</v>
      </c>
      <c r="O48" s="25">
        <f t="shared" si="3"/>
        <v>5</v>
      </c>
      <c r="P48" s="25">
        <f t="shared" si="4"/>
        <v>1</v>
      </c>
      <c r="Q48" s="25">
        <f t="shared" si="5"/>
        <v>1</v>
      </c>
      <c r="R48" s="25">
        <f t="shared" si="6"/>
        <v>1</v>
      </c>
      <c r="S48" s="26">
        <v>4.12</v>
      </c>
      <c r="T48" s="26">
        <v>4.57</v>
      </c>
      <c r="U48" s="26">
        <f t="shared" si="7"/>
        <v>22.69</v>
      </c>
      <c r="V48">
        <f>(Tabla1[[#This Row],[Total]]/$U$53)*1000</f>
        <v>13.978097332191904</v>
      </c>
      <c r="W48" s="26">
        <f>ROUND(Tabla1[[#This Row],[Normalización]],0)</f>
        <v>14</v>
      </c>
    </row>
    <row r="49" spans="1:23" ht="43.2" x14ac:dyDescent="0.3">
      <c r="A49" s="22">
        <v>48</v>
      </c>
      <c r="B49" s="23" t="s">
        <v>222</v>
      </c>
      <c r="C49" s="24" t="s">
        <v>155</v>
      </c>
      <c r="D49" s="23" t="s">
        <v>171</v>
      </c>
      <c r="E49" s="23" t="s">
        <v>223</v>
      </c>
      <c r="F49" s="20" t="s">
        <v>290</v>
      </c>
      <c r="G49" s="23" t="s">
        <v>239</v>
      </c>
      <c r="H49" s="23" t="s">
        <v>239</v>
      </c>
      <c r="I49" s="23" t="s">
        <v>239</v>
      </c>
      <c r="J49" s="23" t="s">
        <v>239</v>
      </c>
      <c r="K49" s="23" t="s">
        <v>239</v>
      </c>
      <c r="L49" s="23" t="s">
        <v>239</v>
      </c>
      <c r="M49" s="25">
        <f t="shared" si="1"/>
        <v>5</v>
      </c>
      <c r="N49" s="25">
        <f t="shared" si="2"/>
        <v>5</v>
      </c>
      <c r="O49" s="25">
        <f t="shared" si="3"/>
        <v>5</v>
      </c>
      <c r="P49" s="25">
        <f t="shared" si="4"/>
        <v>5</v>
      </c>
      <c r="Q49" s="25">
        <f t="shared" si="5"/>
        <v>5</v>
      </c>
      <c r="R49" s="25">
        <f t="shared" si="6"/>
        <v>5</v>
      </c>
      <c r="S49" s="26">
        <v>4.3703703703703702</v>
      </c>
      <c r="T49" s="26">
        <v>4.5517241379310347</v>
      </c>
      <c r="U49" s="26">
        <f t="shared" si="7"/>
        <v>38.922094508301399</v>
      </c>
      <c r="V49">
        <f>(Tabla1[[#This Row],[Total]]/$U$53)*1000</f>
        <v>23.977823949308458</v>
      </c>
      <c r="W49" s="26">
        <f>ROUND(Tabla1[[#This Row],[Normalización]],0)</f>
        <v>24</v>
      </c>
    </row>
    <row r="50" spans="1:23" ht="43.2" x14ac:dyDescent="0.3">
      <c r="A50" s="22">
        <v>49</v>
      </c>
      <c r="B50" s="23" t="s">
        <v>222</v>
      </c>
      <c r="C50" s="24" t="s">
        <v>155</v>
      </c>
      <c r="D50" s="23" t="s">
        <v>171</v>
      </c>
      <c r="E50" s="23" t="s">
        <v>224</v>
      </c>
      <c r="F50" s="20" t="s">
        <v>291</v>
      </c>
      <c r="G50" s="23" t="s">
        <v>239</v>
      </c>
      <c r="H50" s="23" t="s">
        <v>239</v>
      </c>
      <c r="I50" s="23" t="s">
        <v>239</v>
      </c>
      <c r="J50" s="23" t="s">
        <v>70</v>
      </c>
      <c r="K50" s="23" t="s">
        <v>239</v>
      </c>
      <c r="L50" s="23" t="s">
        <v>239</v>
      </c>
      <c r="M50" s="25">
        <f t="shared" si="1"/>
        <v>5</v>
      </c>
      <c r="N50" s="25">
        <f t="shared" si="2"/>
        <v>5</v>
      </c>
      <c r="O50" s="25">
        <f t="shared" si="3"/>
        <v>5</v>
      </c>
      <c r="P50" s="25">
        <f t="shared" si="4"/>
        <v>1</v>
      </c>
      <c r="Q50" s="25">
        <f t="shared" si="5"/>
        <v>5</v>
      </c>
      <c r="R50" s="25">
        <f t="shared" si="6"/>
        <v>5</v>
      </c>
      <c r="S50" s="26">
        <v>4.3703703703703702</v>
      </c>
      <c r="T50" s="26">
        <v>4.5862068965517242</v>
      </c>
      <c r="U50" s="26">
        <f t="shared" si="7"/>
        <v>34.956577266922096</v>
      </c>
      <c r="V50">
        <f>(Tabla1[[#This Row],[Total]]/$U$53)*1000</f>
        <v>21.53488053932675</v>
      </c>
      <c r="W50" s="26">
        <f>ROUND(Tabla1[[#This Row],[Normalización]],0)</f>
        <v>22</v>
      </c>
    </row>
    <row r="51" spans="1:23" ht="43.2" x14ac:dyDescent="0.3">
      <c r="A51" s="22">
        <v>50</v>
      </c>
      <c r="B51" s="23" t="s">
        <v>222</v>
      </c>
      <c r="C51" s="24" t="s">
        <v>149</v>
      </c>
      <c r="D51" s="23" t="s">
        <v>166</v>
      </c>
      <c r="E51" s="23" t="s">
        <v>225</v>
      </c>
      <c r="F51" s="20" t="s">
        <v>292</v>
      </c>
      <c r="G51" s="23" t="s">
        <v>239</v>
      </c>
      <c r="H51" s="23" t="s">
        <v>239</v>
      </c>
      <c r="I51" s="23" t="s">
        <v>239</v>
      </c>
      <c r="J51" s="23" t="s">
        <v>239</v>
      </c>
      <c r="K51" s="23" t="s">
        <v>239</v>
      </c>
      <c r="L51" s="23" t="s">
        <v>239</v>
      </c>
      <c r="M51" s="25">
        <f t="shared" si="1"/>
        <v>5</v>
      </c>
      <c r="N51" s="25">
        <f t="shared" si="2"/>
        <v>5</v>
      </c>
      <c r="O51" s="25">
        <f t="shared" si="3"/>
        <v>5</v>
      </c>
      <c r="P51" s="25">
        <f t="shared" si="4"/>
        <v>5</v>
      </c>
      <c r="Q51" s="25">
        <f t="shared" si="5"/>
        <v>5</v>
      </c>
      <c r="R51" s="25">
        <f t="shared" si="6"/>
        <v>5</v>
      </c>
      <c r="S51" s="26">
        <v>4.3703703703703702</v>
      </c>
      <c r="T51" s="26">
        <v>4.5862068965517242</v>
      </c>
      <c r="U51" s="26">
        <f t="shared" si="7"/>
        <v>38.956577266922089</v>
      </c>
      <c r="V51">
        <f>(Tabla1[[#This Row],[Total]]/$U$53)*1000</f>
        <v>23.999066935482212</v>
      </c>
      <c r="W51" s="26">
        <f>ROUND(Tabla1[[#This Row],[Normalización]],0)</f>
        <v>24</v>
      </c>
    </row>
    <row r="52" spans="1:23" ht="43.2" x14ac:dyDescent="0.3">
      <c r="A52" s="22">
        <v>51</v>
      </c>
      <c r="B52" s="23" t="s">
        <v>222</v>
      </c>
      <c r="C52" s="24" t="s">
        <v>149</v>
      </c>
      <c r="D52" s="23" t="s">
        <v>226</v>
      </c>
      <c r="E52" s="23" t="s">
        <v>227</v>
      </c>
      <c r="F52" s="20" t="s">
        <v>293</v>
      </c>
      <c r="G52" s="23" t="s">
        <v>239</v>
      </c>
      <c r="H52" s="23" t="s">
        <v>239</v>
      </c>
      <c r="I52" s="23" t="s">
        <v>239</v>
      </c>
      <c r="J52" s="23" t="s">
        <v>70</v>
      </c>
      <c r="K52" s="23" t="s">
        <v>239</v>
      </c>
      <c r="L52" s="23" t="s">
        <v>239</v>
      </c>
      <c r="M52" s="25">
        <f t="shared" si="1"/>
        <v>5</v>
      </c>
      <c r="N52" s="25">
        <f t="shared" si="2"/>
        <v>5</v>
      </c>
      <c r="O52" s="25">
        <f t="shared" si="3"/>
        <v>5</v>
      </c>
      <c r="P52" s="25">
        <f t="shared" si="4"/>
        <v>1</v>
      </c>
      <c r="Q52" s="25">
        <f t="shared" si="5"/>
        <v>5</v>
      </c>
      <c r="R52" s="25">
        <f t="shared" si="6"/>
        <v>5</v>
      </c>
      <c r="S52" s="26">
        <v>4.3703703703703702</v>
      </c>
      <c r="T52" s="26">
        <v>4.1724137931034484</v>
      </c>
      <c r="U52" s="26">
        <f t="shared" si="7"/>
        <v>34.542784163473819</v>
      </c>
      <c r="V52">
        <f>(Tabla1[[#This Row],[Total]]/$U$53)*1000</f>
        <v>21.279964705241696</v>
      </c>
      <c r="W52" s="26">
        <f>ROUND(Tabla1[[#This Row],[Normalización]],0)</f>
        <v>21</v>
      </c>
    </row>
    <row r="53" spans="1:23" x14ac:dyDescent="0.3">
      <c r="U53" s="30">
        <f>SUM(U2:U52)</f>
        <v>1623.2538278113409</v>
      </c>
      <c r="V53" s="30">
        <f>SUM(V2:V52)</f>
        <v>1000</v>
      </c>
      <c r="W53" s="30">
        <f>SUBTOTAL(109,Tabla1[Aproximación a la unidad])</f>
        <v>1000</v>
      </c>
    </row>
    <row r="54" spans="1:23" x14ac:dyDescent="0.3">
      <c r="V54" s="31"/>
    </row>
  </sheetData>
  <conditionalFormatting sqref="M2:T5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1">
    <dataValidation type="list" allowBlank="1" showInputMessage="1" showErrorMessage="1" sqref="G2:L52" xr:uid="{F7120199-B675-45EA-B464-3422B4273387}">
      <formula1>"Si,No"</formula1>
    </dataValidation>
  </dataValidations>
  <hyperlinks>
    <hyperlink ref="F2" r:id="rId1" display="../../../:w:/g/personal/ancasallas_minenergia_gov_co/EZlPLBjzWCdGi1JX_D2NUaUBIRpxWJlCZYtTNlIUDkJySA?e=LcKHxM" xr:uid="{A55A3BBE-303B-40B2-85D8-E9521DD018A8}"/>
    <hyperlink ref="F4" r:id="rId2" display="../../../:w:/g/personal/ancasallas_minenergia_gov_co/EbAsw0mP2jhIqLTPhaaTlyABnIxNDzNgluLocy0OhzAEdg?e=0FvJdL" xr:uid="{E9D01C46-7607-4FC1-A67B-242EB0C01202}"/>
    <hyperlink ref="F3" r:id="rId3" display="../../../:w:/g/personal/ancasallas_minenergia_gov_co/ES_qUrmuoa9FiDGzKyvAF-4BxmIUwaKsl6NWF_tlaF9aaQ?e=nYcR2x" xr:uid="{9FBBC847-B1E9-4959-AEC2-3C0C73BB7098}"/>
    <hyperlink ref="F5" r:id="rId4" display="../../../:w:/g/personal/ancasallas_minenergia_gov_co/Eaix1W_YL1hGi_QQF3ZbtMgBvg_Xe5xKYRQGQZOXJ1mi7Q?e=Bwo8qe" xr:uid="{AC56C001-5F1B-45FA-857F-4A02CBC5DBC8}"/>
    <hyperlink ref="F6" r:id="rId5" display="../../../:w:/g/personal/ancasallas_minenergia_gov_co/EcRtuS84IypJrYJLY9sYVRkBMBGCIrG-ApRwpZDhtX1L6g?e=ljOmZo" xr:uid="{F9936DFA-99B4-453F-91E7-57764173A418}"/>
    <hyperlink ref="F7" r:id="rId6" display="../../../:w:/g/personal/ancasallas_minenergia_gov_co/EV0og24SjdpHot55opqbQWAB5gSy8v8QWCnPOagHMIcb6A?e=MBOfl0" xr:uid="{266399F4-D4C4-466B-B7FF-D30A6BB7F69D}"/>
    <hyperlink ref="F8" r:id="rId7" display="../../../:w:/g/personal/ancasallas_minenergia_gov_co/EblkRacF9MtMgQtSlnUqFOEBy4JL05bZqDpnas-9_2HNkQ?e=EUcZMH" xr:uid="{143034AF-B08E-4F0B-8B52-5D4229CF5ADF}"/>
    <hyperlink ref="F9" r:id="rId8" display="../../../:w:/r/personal/ancasallas_minenergia_gov_co/Documents/Datos adjuntos/08. Acceso a justicia.docx?d=w9e44ee6992624f1f9301875c4a32f0b1&amp;csf=1&amp;web=1&amp;e=VSTwhE" xr:uid="{39579525-6D56-435F-99CD-903EA7D575D4}"/>
    <hyperlink ref="F10" r:id="rId9" display="../../../:w:/g/personal/ancasallas_minenergia_gov_co/Ecj2SyRzmkJOugJo5NOMMQABXjmDJSZo7NAs6oNfLI6ZNA?e=ueVDn5" xr:uid="{8936E5B5-A11A-4B6E-8867-D52FF87C6B68}"/>
    <hyperlink ref="F11" r:id="rId10" display="../../../:w:/g/personal/ancasallas_minenergia_gov_co/EbfmEWEiA65EjWvxgytaw_wB789HIyWqsKV6yL6QrdkCEQ?e=y9GdcA" xr:uid="{43E9DBCB-82FE-4AD7-B9DB-BB2F98A57F19}"/>
    <hyperlink ref="F12" r:id="rId11" display="../../../:w:/g/personal/ancasallas_minenergia_gov_co/ESfD3RZTZKZGpMODy4GP-QUBDgfqghB9lB4gUnywXv5axg?e=QDjwDV" xr:uid="{C0F2074B-9FAE-4266-B289-7FBE6DDE4E20}"/>
    <hyperlink ref="F13" r:id="rId12" display="../../../:w:/g/personal/ancasallas_minenergia_gov_co/Ea2grvVu4RRMu8LtdJpmRMQBnNr9pJtJQKhDQGgtzMQOBQ?e=UwIs9q" xr:uid="{D30C7611-B6DE-46DB-9DA4-AB58E7ECCF85}"/>
    <hyperlink ref="F14" r:id="rId13" display="../../../:w:/g/personal/ancasallas_minenergia_gov_co/Ecwkh8S5onpEkpS7cu9jgn0BQur2n5n6L3WnVPcORco1Nw?e=iA5Wi7" xr:uid="{C207A7A3-A0DB-423B-B0FC-47754056FF87}"/>
    <hyperlink ref="F15" r:id="rId14" display="../../../:w:/g/personal/ancasallas_minenergia_gov_co/EUhNyaPgo_NMi_s9LznOvfsB5A9_a8ENewJb4OIQ02TJ3A?e=WVkHbI" xr:uid="{E551AEB4-BAC2-4A4A-980A-93908771DC01}"/>
    <hyperlink ref="F16" r:id="rId15" display="../../../:w:/g/personal/ancasallas_minenergia_gov_co/ETcb2Q1qty9Jky20maLDyhoB1A3WzMQ4uMT9WqFshzaKow?e=PiScWL" xr:uid="{9E090DA9-3D53-4CA5-8300-2D0AE472EDDF}"/>
    <hyperlink ref="F17" r:id="rId16" display="../../../:w:/g/personal/ancasallas_minenergia_gov_co/EZMBNKg_5ghGm1VkvaJISZkBAAZO8mGMcF1XH_xuLVH0HA?e=zBopSg" xr:uid="{70CDF1C8-BF19-451E-9105-ED81D2954B85}"/>
    <hyperlink ref="F18" r:id="rId17" display="../../../:w:/g/personal/ancasallas_minenergia_gov_co/EVOZnWD8PwtDpIRo5glY7FwBHE8BicZFly4vNu-SgraG6A?e=H4c7cA" xr:uid="{76A00186-7401-4E10-9A7E-1E9D2E7C9119}"/>
    <hyperlink ref="F19" r:id="rId18" display="../../../:w:/g/personal/ancasallas_minenergia_gov_co/Eek38ViGlV5DtkjlyfSA1bkBUSDyHXOcTjfY5Ja9admIiQ?e=WnWZY0" xr:uid="{8CC4F34F-43C3-4077-8A98-25392E0B393D}"/>
    <hyperlink ref="F20" r:id="rId19" display="../../../:w:/g/personal/ancasallas_minenergia_gov_co/EXYjY_YoO59Lkn1x-p4Rj54B06fgui-wRqFBSz8Me1FkPA?e=z7ILbi" xr:uid="{1F665979-1B5B-4DC2-AC95-D0589B84C442}"/>
    <hyperlink ref="F21" r:id="rId20" display="../../../:w:/g/personal/ancasallas_minenergia_gov_co/Eeq9eN-upd5Iq90tXp4ylmcBcd6G8Z8V8q2wECwYhGspzw?e=hxsGoM" xr:uid="{8A5F96BF-FFFB-4BE6-ADDF-9E7FA489A536}"/>
    <hyperlink ref="F22" r:id="rId21" display="../../../:w:/g/personal/ancasallas_minenergia_gov_co/ERH8p9E6R41DltE5UtsmEGEBmHibaBHOBSa6j-81J3Hmxw?e=Gtg0sd" xr:uid="{35D75137-612D-479B-9241-E38244675BFE}"/>
    <hyperlink ref="F23" r:id="rId22" display="../../../:w:/g/personal/ancasallas_minenergia_gov_co/EYIxMjC36CVFp657NCCeI5YB-GuqMcRFujr5N6novSD-8Q?e=qBmZs7" xr:uid="{0DCB1713-5AAF-4734-81D8-6AD5376FB0BD}"/>
    <hyperlink ref="F24" r:id="rId23" display="../../../:w:/g/personal/ancasallas_minenergia_gov_co/Ea7Y5Z6SOfhDtqsPqN2bUn0BYuRf0ovbkP-D_ew7S4m2Ew?e=5XFhFM" xr:uid="{9DF9E4E5-1379-4CCF-93FD-4C36B6901560}"/>
    <hyperlink ref="F25" r:id="rId24" display="../../../:w:/g/personal/ancasallas_minenergia_gov_co/EZ583i63RERBiZKOot4r2_oBBIYJLqfH7mxTCxJ_rYmlVA?e=9j9RzP" xr:uid="{231A1F7A-2624-4FF3-BAA3-57E4C3EB9642}"/>
    <hyperlink ref="F26" r:id="rId25" display="../../../:w:/g/personal/ancasallas_minenergia_gov_co/EdxBGkmNrL1KmEGAXL3J884BVUWlOAX_Kp8nEkRTe5RgLQ?e=0IUo9p" xr:uid="{A2BEA86D-98E8-4351-94EC-C3A7FF19F644}"/>
    <hyperlink ref="F27" r:id="rId26" display="../../../:w:/g/personal/ancasallas_minenergia_gov_co/Ecv5sv_cAFZBlAUcK2GP5gIBO1ze_bVGScZyFONkX1HYZQ?e=AIfZui" xr:uid="{B3061E76-31A3-4443-A456-045806AE9146}"/>
    <hyperlink ref="F28" r:id="rId27" display="../../../:w:/g/personal/ancasallas_minenergia_gov_co/ETZjGJiUbBBMjNPVnexL4jIBfPlPay5BFjduLn6LrChWGg?e=d1TPyc" xr:uid="{5CEEE37D-F50C-444D-9D43-9DBC8629DB08}"/>
    <hyperlink ref="F29" r:id="rId28" display="../../../:w:/g/personal/ancasallas_minenergia_gov_co/EVzkTj9D26lCsgEGl8DeHCgB8zS3a3WSqhaarJvCu9Aqtg?e=KrinTP" xr:uid="{E1310A91-0360-40E4-A351-0FF63062F921}"/>
    <hyperlink ref="F30" r:id="rId29" display="../../../:w:/g/personal/ancasallas_minenergia_gov_co/EflF40nsfD1Kjt95Nms5xRkBHkV81JVzlr_BxITkKTq8lw?e=GSSDRR" xr:uid="{EEEC09C0-F796-454E-95C6-4A13B33FD851}"/>
    <hyperlink ref="F31" r:id="rId30" display="../../../:w:/r/personal/ancasallas_minenergia_gov_co/Documents/Datos adjuntos/30. Participaci%C3%B3n de las FNCER en la matriz energ%C3%A9tica el%C3%A9ctrica.docx?d=w267b6f52024e45918cc2a8eb1188b50f&amp;csf=1&amp;web=1&amp;e=aoUWMq" xr:uid="{9028F1B3-EA82-4825-B85C-560F4BAE5FD6}"/>
    <hyperlink ref="F32" r:id="rId31" display="../../../:w:/g/personal/ancasallas_minenergia_gov_co/EYVbjEau9EtBsOzxSA_KHhkBRz_2azcGIBZdqOl-igCmGQ?e=DqfbWo" xr:uid="{8595C1CD-BF7B-4ED6-9A78-31B531F60843}"/>
    <hyperlink ref="F33" r:id="rId32" display="../../../:w:/g/personal/ancasallas_minenergia_gov_co/EXq4DI7sEnhOmV3WPh6Pam0BWf8W3v3IxKVC-7d2YW71iw?e=Yhnc4S" xr:uid="{02634DCB-4F80-4136-A6AA-D18586652B1C}"/>
    <hyperlink ref="F34" r:id="rId33" display="../../../:w:/g/personal/ancasallas_minenergia_gov_co/EfOT6XRnH49IlTW9hWnzR7kBj9EABb21-Bx9gGOkPAcyDg?e=2Ewl2j" xr:uid="{D7DC71D2-4252-4075-9DBD-6258F807D608}"/>
    <hyperlink ref="F35" r:id="rId34" display="../../../:w:/g/personal/ancasallas_minenergia_gov_co/ERl1d1HR9tNHjsGJQsiLaKwB8cl5sIwqB2rjTED5i-1j0Q?e=g8OxRE" xr:uid="{5DA645AF-165F-46E7-B1F0-C192166C8E17}"/>
    <hyperlink ref="F36" r:id="rId35" display="../../../:w:/g/personal/ancasallas_minenergia_gov_co/EeJxMjp-mh9CnqEbaTXYKmwBQj_-lLo3bkjUcwIAi9LpSw?e=PUGyi3" xr:uid="{A044AAB7-7A82-4A61-A366-22027C9511DA}"/>
    <hyperlink ref="F37" r:id="rId36" display="../../../:w:/g/personal/ancasallas_minenergia_gov_co/EZvv6pJhwQxPtUK8uIc_YWYBkxcWK4BUARon_iunubmxFg?e=6ty9z1" xr:uid="{E2706C70-5BC9-4F85-9BF7-B34DAB9FF1F0}"/>
    <hyperlink ref="F38" r:id="rId37" display="../../../:w:/g/personal/ancasallas_minenergia_gov_co/EY2D8D2ivdJMsI9Jxlmn6e8B14LKnOAWuMS3LraL0BXgeg?e=vOW5mM" xr:uid="{D070807D-9869-4B4D-B2B3-72214C00C89A}"/>
    <hyperlink ref="F39" r:id="rId38" display="../../../:w:/g/personal/ancasallas_minenergia_gov_co/EftG30r2n31EnMQ5ymF1qHsBNv_0zbczswrtwZr2_wlpGQ?e=ZiZRtz" xr:uid="{CA3956FE-E15D-4A43-A80F-9E178946E73E}"/>
    <hyperlink ref="F40" r:id="rId39" display="../../../:w:/g/personal/ancasallas_minenergia_gov_co/EZl_Nl6SIY9Fgbo-W1q8MYMBJPvIlYFkHtru7OnKhEDCEA?e=e309QF" xr:uid="{1191133D-789D-4D3C-AB6E-3A10103D59B3}"/>
    <hyperlink ref="F41" r:id="rId40" display="../../../:w:/g/personal/ancasallas_minenergia_gov_co/EdhgYdeKVUpErn6rxRTfCTUB1hkpD_5OAlOyrzG8iW9Z6w?e=8cbfHa" xr:uid="{B12AF2AF-E200-4C37-B31A-709638A2FDB1}"/>
    <hyperlink ref="F42" r:id="rId41" display="../../../:w:/g/personal/ancasallas_minenergia_gov_co/EZwQGvg99dFBhAb09UF2CmYBpAvpBNN8Qh9MRR1qHQkb1g?e=rpBzEW" xr:uid="{F0837A97-614F-42B3-B962-6A6362164B3F}"/>
    <hyperlink ref="F43" r:id="rId42" display="../../../:w:/g/personal/ancasallas_minenergia_gov_co/EdelaFFgqUJMtWW2tMuZeJYB9-_hbTfhfWL8B1hwPdOOwQ?e=rOAsV6" xr:uid="{62F6ED32-9695-411B-81D3-A797B04F9683}"/>
    <hyperlink ref="F44" r:id="rId43" display="../../../:w:/g/personal/ancasallas_minenergia_gov_co/EQmJ8OFz-41Lte5VCBoB5_UB6WatHMnyoLuryNo9RnoKBw?e=KOI66k" xr:uid="{1FC9144A-82B6-489A-B9CD-6FCD5DC9C67D}"/>
    <hyperlink ref="F45" r:id="rId44" display="../../../:w:/g/personal/ancasallas_minenergia_gov_co/EdM0SGU-dINJhOFEpXsrP6MBeRbR-8NscohlQXIfXsE9-Q?e=CMoGKH" xr:uid="{A56135C7-199F-48C6-89B2-F6C10B07ED4A}"/>
    <hyperlink ref="F46" r:id="rId45" display="../../../:w:/g/personal/ancasallas_minenergia_gov_co/EdS2VO4V3T9EmR-c1fDlKBYBURhsMKpYgbGGPE0TJKAcSA?e=d2ZmD9" xr:uid="{962486EB-3FFE-4539-8A4E-9A1C34890CFF}"/>
    <hyperlink ref="F47" r:id="rId46" display="../../../:w:/g/personal/ancasallas_minenergia_gov_co/EYBF0T0n1gFHjznOmU8DGmQBrGp_q3OrLUcBFCekvMKYKQ?e=GTen6g" xr:uid="{A23A3813-CAA2-4AD9-B545-ECE09657A077}"/>
    <hyperlink ref="F48" r:id="rId47" display="../../../:w:/g/personal/ancasallas_minenergia_gov_co/EZ8U4ep3nfRJoBGvL2dCqaUBNB5vXMkRhSYnx3MTO_JZSQ?e=XjvnG9" xr:uid="{F5B05797-AC64-41F1-A2D7-CF6EBAD1D9B5}"/>
    <hyperlink ref="F49" r:id="rId48" display="../../../:w:/g/personal/ancasallas_minenergia_gov_co/EfjYw60eIU9Lt8Z1RMSMWXIB26ryQ0enSaK7bf9xmpFOPw?e=bJRP9V" xr:uid="{393AFE9F-A3B8-43E3-A2F2-3C363AF44D45}"/>
    <hyperlink ref="F50" r:id="rId49" display="../../../:w:/g/personal/ancasallas_minenergia_gov_co/EdBXcC3405VHsVd_NAmz_MQBDoVVFL2UqRTTCkm0npeOLg?e=6Ee6il" xr:uid="{53148022-87F1-4F96-9F92-19485CB40ABD}"/>
    <hyperlink ref="F51" r:id="rId50" display="../../../:w:/g/personal/ancasallas_minenergia_gov_co/EbwTS7m11lNIpDCg2NvVkTcBCEFTuap9csEpsbm8jQtskw?e=RkKCqG" xr:uid="{5EC8D2FA-794F-4D72-A5F0-B65BFD069FBF}"/>
    <hyperlink ref="F52" r:id="rId51" display="../../../:w:/g/personal/ancasallas_minenergia_gov_co/Ef0f1V8EaDxBoxe3mr729-sBXKLziXJsOFH4sZdwwl6_mA?e=CvN6dL" xr:uid="{88F74B29-3E6D-49D1-AA5C-808544269A32}"/>
  </hyperlinks>
  <pageMargins left="0.7" right="0.7" top="0.75" bottom="0.75" header="0.3" footer="0.3"/>
  <tableParts count="1">
    <tablePart r:id="rId5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59D28-A647-4F94-8C90-7E1D0CC9305B}">
  <dimension ref="A3:J113"/>
  <sheetViews>
    <sheetView workbookViewId="0">
      <selection activeCell="E67" sqref="E67"/>
    </sheetView>
  </sheetViews>
  <sheetFormatPr baseColWidth="10" defaultRowHeight="14.4" x14ac:dyDescent="0.3"/>
  <cols>
    <col min="1" max="1" width="31.88671875" bestFit="1" customWidth="1"/>
    <col min="2" max="2" width="32.21875" bestFit="1" customWidth="1"/>
    <col min="3" max="3" width="34.33203125" bestFit="1" customWidth="1"/>
    <col min="4" max="4" width="5.88671875" bestFit="1" customWidth="1"/>
    <col min="5" max="5" width="122.88671875" bestFit="1" customWidth="1"/>
    <col min="6" max="6" width="27.109375" bestFit="1" customWidth="1"/>
    <col min="7" max="7" width="32.77734375" bestFit="1" customWidth="1"/>
    <col min="8" max="8" width="23.5546875" bestFit="1" customWidth="1"/>
    <col min="9" max="9" width="19" customWidth="1"/>
    <col min="10" max="10" width="24.77734375" bestFit="1" customWidth="1"/>
    <col min="11" max="11" width="19.21875" bestFit="1" customWidth="1"/>
    <col min="12" max="12" width="26.33203125" bestFit="1" customWidth="1"/>
    <col min="13" max="13" width="11.88671875" bestFit="1" customWidth="1"/>
  </cols>
  <sheetData>
    <row r="3" spans="1:10" x14ac:dyDescent="0.3">
      <c r="A3" s="48" t="s">
        <v>327</v>
      </c>
      <c r="B3" t="s">
        <v>329</v>
      </c>
      <c r="C3" t="s">
        <v>330</v>
      </c>
      <c r="E3" s="57" t="s">
        <v>331</v>
      </c>
      <c r="F3" s="57" t="s">
        <v>332</v>
      </c>
      <c r="G3" s="57" t="s">
        <v>337</v>
      </c>
      <c r="I3" s="161" t="s">
        <v>336</v>
      </c>
      <c r="J3" s="161"/>
    </row>
    <row r="4" spans="1:10" x14ac:dyDescent="0.3">
      <c r="A4" s="49" t="s">
        <v>154</v>
      </c>
      <c r="B4">
        <v>27</v>
      </c>
      <c r="C4">
        <v>59</v>
      </c>
      <c r="E4" s="54" t="str">
        <f>A4</f>
        <v>Análisis institucional</v>
      </c>
      <c r="F4" s="55">
        <f>GETPIVOTDATA("Suma de Puntaje para la gobernanza",$A$3,"Dimensión","Análisis institucional")/GETPIVOTDATA("Suma de Puntaje máximo del indicador",$A$3,"Dimensión","Análisis institucional")</f>
        <v>0.4576271186440678</v>
      </c>
      <c r="G4" s="56">
        <f>200%-F4</f>
        <v>1.5423728813559321</v>
      </c>
      <c r="I4" s="161" t="s">
        <v>335</v>
      </c>
      <c r="J4" s="161"/>
    </row>
    <row r="5" spans="1:10" x14ac:dyDescent="0.3">
      <c r="A5" s="49" t="s">
        <v>144</v>
      </c>
      <c r="B5">
        <v>42.400000000000006</v>
      </c>
      <c r="C5">
        <v>96</v>
      </c>
      <c r="E5" s="54" t="str">
        <f t="shared" ref="E5:E14" si="0">A5</f>
        <v>Análisis jurídico-normativo</v>
      </c>
      <c r="F5" s="55">
        <f>GETPIVOTDATA("Suma de Puntaje para la gobernanza",$A$3,"Dimensión","Análisis jurídico-normativo")/GETPIVOTDATA("Suma de Puntaje máximo del indicador",$A$3,"Dimensión","Análisis jurídico-normativo")</f>
        <v>0.44166666666666671</v>
      </c>
      <c r="G5" s="56">
        <f t="shared" ref="G5:G14" si="1">200%-F5</f>
        <v>1.5583333333333333</v>
      </c>
      <c r="I5" s="52" t="s">
        <v>334</v>
      </c>
      <c r="J5" s="53">
        <v>1</v>
      </c>
    </row>
    <row r="6" spans="1:10" x14ac:dyDescent="0.3">
      <c r="A6" s="49" t="s">
        <v>170</v>
      </c>
      <c r="B6">
        <v>61.3</v>
      </c>
      <c r="C6">
        <v>91</v>
      </c>
      <c r="E6" s="54" t="str">
        <f t="shared" si="0"/>
        <v>Biofísica y ecológica</v>
      </c>
      <c r="F6" s="55">
        <f>GETPIVOTDATA("Suma de Puntaje para la gobernanza",$A$3,"Dimensión","Biofísica y ecológica")/GETPIVOTDATA("Suma de Puntaje máximo del indicador",$A$3,"Dimensión","Biofísica y ecológica")</f>
        <v>0.67362637362637356</v>
      </c>
      <c r="G6" s="56">
        <f t="shared" si="1"/>
        <v>1.3263736263736265</v>
      </c>
      <c r="I6" s="52" t="s">
        <v>333</v>
      </c>
      <c r="J6" s="53">
        <v>1</v>
      </c>
    </row>
    <row r="7" spans="1:10" x14ac:dyDescent="0.3">
      <c r="A7" s="49" t="s">
        <v>184</v>
      </c>
      <c r="B7">
        <v>49</v>
      </c>
      <c r="C7">
        <v>134</v>
      </c>
      <c r="E7" s="54" t="str">
        <f t="shared" si="0"/>
        <v xml:space="preserve">Cambio climático y gestión del riesgo </v>
      </c>
      <c r="F7" s="55">
        <f>GETPIVOTDATA("Suma de Puntaje para la gobernanza",$A$3,"Dimensión","Cambio climático y gestión del riesgo ")/GETPIVOTDATA("Suma de Puntaje máximo del indicador",$A$3,"Dimensión","Cambio climático y gestión del riesgo ")</f>
        <v>0.36567164179104478</v>
      </c>
      <c r="G7" s="56">
        <f t="shared" si="1"/>
        <v>1.6343283582089552</v>
      </c>
    </row>
    <row r="8" spans="1:10" x14ac:dyDescent="0.3">
      <c r="A8" s="49" t="s">
        <v>199</v>
      </c>
      <c r="B8">
        <v>74.5</v>
      </c>
      <c r="C8">
        <v>82</v>
      </c>
      <c r="E8" s="54" t="str">
        <f t="shared" si="0"/>
        <v>Económica</v>
      </c>
      <c r="F8" s="55">
        <f>GETPIVOTDATA("Suma de Puntaje para la gobernanza",$A$3,"Dimensión","Económica")/GETPIVOTDATA("Suma de Puntaje máximo del indicador",$A$3,"Dimensión","Económica")</f>
        <v>0.90853658536585369</v>
      </c>
      <c r="G8" s="56">
        <f t="shared" si="1"/>
        <v>1.0914634146341462</v>
      </c>
    </row>
    <row r="9" spans="1:10" x14ac:dyDescent="0.3">
      <c r="A9" s="49" t="s">
        <v>177</v>
      </c>
      <c r="B9">
        <v>33</v>
      </c>
      <c r="C9">
        <v>57</v>
      </c>
      <c r="E9" s="54" t="str">
        <f t="shared" si="0"/>
        <v>Gestión y evaluación ambiental</v>
      </c>
      <c r="F9" s="55">
        <f>GETPIVOTDATA("Suma de Puntaje para la gobernanza",$A$3,"Dimensión","Gestión y evaluación ambiental")/GETPIVOTDATA("Suma de Puntaje máximo del indicador",$A$3,"Dimensión","Gestión y evaluación ambiental")</f>
        <v>0.57894736842105265</v>
      </c>
      <c r="G9" s="56">
        <f t="shared" si="1"/>
        <v>1.4210526315789473</v>
      </c>
    </row>
    <row r="10" spans="1:10" x14ac:dyDescent="0.3">
      <c r="A10" s="49" t="s">
        <v>161</v>
      </c>
      <c r="B10">
        <v>77</v>
      </c>
      <c r="C10">
        <v>89</v>
      </c>
      <c r="E10" s="54" t="str">
        <f t="shared" si="0"/>
        <v>Social</v>
      </c>
      <c r="F10" s="55">
        <f>GETPIVOTDATA("Suma de Puntaje para la gobernanza",$A$3,"Dimensión","Social")/GETPIVOTDATA("Suma de Puntaje máximo del indicador",$A$3,"Dimensión","Social")</f>
        <v>0.8651685393258427</v>
      </c>
      <c r="G10" s="56">
        <f t="shared" si="1"/>
        <v>1.1348314606741572</v>
      </c>
    </row>
    <row r="11" spans="1:10" x14ac:dyDescent="0.3">
      <c r="A11" s="49" t="s">
        <v>222</v>
      </c>
      <c r="B11">
        <v>62</v>
      </c>
      <c r="C11">
        <v>91</v>
      </c>
      <c r="E11" s="54" t="str">
        <f t="shared" si="0"/>
        <v>Subsector de energía eléctrica</v>
      </c>
      <c r="F11" s="55">
        <f>GETPIVOTDATA("Suma de Puntaje para la gobernanza",$A$3,"Dimensión","Subsector de energía eléctrica")/GETPIVOTDATA("Suma de Puntaje máximo del indicador",$A$3,"Dimensión","Subsector de energía eléctrica")</f>
        <v>0.68131868131868134</v>
      </c>
      <c r="G11" s="56">
        <f t="shared" si="1"/>
        <v>1.3186813186813187</v>
      </c>
    </row>
    <row r="12" spans="1:10" x14ac:dyDescent="0.3">
      <c r="A12" s="49" t="s">
        <v>205</v>
      </c>
      <c r="B12">
        <v>48</v>
      </c>
      <c r="C12">
        <v>122</v>
      </c>
      <c r="E12" s="54" t="str">
        <f t="shared" si="0"/>
        <v xml:space="preserve">Subsector de hidrocarburos </v>
      </c>
      <c r="F12" s="55">
        <f>GETPIVOTDATA("Suma de Puntaje para la gobernanza",$A$3,"Dimensión","Subsector de hidrocarburos ")/GETPIVOTDATA("Suma de Puntaje máximo del indicador",$A$3,"Dimensión","Subsector de hidrocarburos ")</f>
        <v>0.39344262295081966</v>
      </c>
      <c r="G12" s="56">
        <f t="shared" si="1"/>
        <v>1.6065573770491803</v>
      </c>
    </row>
    <row r="13" spans="1:10" x14ac:dyDescent="0.3">
      <c r="A13" s="49" t="s">
        <v>214</v>
      </c>
      <c r="B13">
        <v>33</v>
      </c>
      <c r="C13">
        <v>83</v>
      </c>
      <c r="E13" s="54" t="str">
        <f t="shared" si="0"/>
        <v xml:space="preserve">Subsector de minería </v>
      </c>
      <c r="F13" s="55">
        <f>GETPIVOTDATA("Suma de Puntaje para la gobernanza",$A$3,"Dimensión","Subsector de minería ")/GETPIVOTDATA("Suma de Puntaje máximo del indicador",$A$3,"Dimensión","Subsector de minería ")</f>
        <v>0.39759036144578314</v>
      </c>
      <c r="G13" s="56">
        <f t="shared" si="1"/>
        <v>1.6024096385542168</v>
      </c>
    </row>
    <row r="14" spans="1:10" x14ac:dyDescent="0.3">
      <c r="A14" s="49" t="s">
        <v>192</v>
      </c>
      <c r="B14">
        <v>64</v>
      </c>
      <c r="C14">
        <v>96</v>
      </c>
      <c r="E14" s="54" t="str">
        <f t="shared" si="0"/>
        <v>Transición energética justa</v>
      </c>
      <c r="F14" s="55">
        <f>GETPIVOTDATA("Suma de Puntaje para la gobernanza",$A$3,"Dimensión","Transición energética justa")/GETPIVOTDATA("Suma de Puntaje máximo del indicador",$A$3,"Dimensión","Transición energética justa")</f>
        <v>0.66666666666666663</v>
      </c>
      <c r="G14" s="56">
        <f t="shared" si="1"/>
        <v>1.3333333333333335</v>
      </c>
    </row>
    <row r="15" spans="1:10" x14ac:dyDescent="0.3">
      <c r="A15" s="49" t="s">
        <v>328</v>
      </c>
      <c r="B15">
        <v>571.20000000000005</v>
      </c>
      <c r="C15">
        <v>1000</v>
      </c>
    </row>
    <row r="21" spans="1:6" x14ac:dyDescent="0.3">
      <c r="A21" s="48" t="s">
        <v>327</v>
      </c>
      <c r="B21" t="s">
        <v>329</v>
      </c>
      <c r="C21" t="s">
        <v>330</v>
      </c>
      <c r="E21" s="58" t="s">
        <v>134</v>
      </c>
      <c r="F21" s="58" t="s">
        <v>339</v>
      </c>
    </row>
    <row r="22" spans="1:6" x14ac:dyDescent="0.3">
      <c r="A22" s="49" t="s">
        <v>155</v>
      </c>
      <c r="B22">
        <v>246.8</v>
      </c>
      <c r="C22" s="31">
        <v>360</v>
      </c>
      <c r="E22" s="60" t="str">
        <f>A22</f>
        <v>Efectividad</v>
      </c>
      <c r="F22" s="61">
        <f>GETPIVOTDATA("Suma de Puntaje para la gobernanza",$A$21,"Objetivos","Efectividad")/GETPIVOTDATA("Suma de Puntaje máximo del indicador",$A$21,"Objetivos","Efectividad")</f>
        <v>0.68555555555555558</v>
      </c>
    </row>
    <row r="23" spans="1:6" x14ac:dyDescent="0.3">
      <c r="A23" s="49" t="s">
        <v>149</v>
      </c>
      <c r="B23">
        <v>154.6</v>
      </c>
      <c r="C23" s="31">
        <v>283</v>
      </c>
      <c r="E23" s="60" t="str">
        <f t="shared" ref="E23:E25" si="2">A23</f>
        <v>Equidad</v>
      </c>
      <c r="F23" s="61">
        <f>GETPIVOTDATA("Suma de Puntaje para la gobernanza",$A$21,"Objetivos","Equidad")/GETPIVOTDATA("Suma de Puntaje máximo del indicador",$A$21,"Objetivos","Equidad")</f>
        <v>0.54628975265017665</v>
      </c>
    </row>
    <row r="24" spans="1:6" x14ac:dyDescent="0.3">
      <c r="A24" s="49" t="s">
        <v>179</v>
      </c>
      <c r="B24">
        <v>127</v>
      </c>
      <c r="C24" s="31">
        <v>253</v>
      </c>
      <c r="E24" s="60" t="str">
        <f t="shared" si="2"/>
        <v>Receptividad</v>
      </c>
      <c r="F24" s="61">
        <f>GETPIVOTDATA("Suma de Puntaje para la gobernanza",$A$21,"Objetivos","Receptividad")/GETPIVOTDATA("Suma de Puntaje máximo del indicador",$A$21,"Objetivos","Receptividad")</f>
        <v>0.50197628458498023</v>
      </c>
    </row>
    <row r="25" spans="1:6" x14ac:dyDescent="0.3">
      <c r="A25" s="49" t="s">
        <v>145</v>
      </c>
      <c r="B25">
        <v>42.8</v>
      </c>
      <c r="C25" s="31">
        <v>104</v>
      </c>
      <c r="E25" s="60" t="str">
        <f t="shared" si="2"/>
        <v>Robustez</v>
      </c>
      <c r="F25" s="61">
        <f>GETPIVOTDATA("Suma de Puntaje para la gobernanza",$A$21,"Objetivos","Robustez")/GETPIVOTDATA("Suma de Puntaje máximo del indicador",$A$21,"Objetivos","Robustez")</f>
        <v>0.41153846153846152</v>
      </c>
    </row>
    <row r="26" spans="1:6" x14ac:dyDescent="0.3">
      <c r="A26" s="49" t="s">
        <v>328</v>
      </c>
      <c r="B26">
        <v>571.19999999999993</v>
      </c>
      <c r="C26" s="31">
        <v>1000</v>
      </c>
    </row>
    <row r="29" spans="1:6" x14ac:dyDescent="0.3">
      <c r="A29" s="48" t="s">
        <v>327</v>
      </c>
      <c r="B29" t="s">
        <v>329</v>
      </c>
      <c r="C29" t="s">
        <v>330</v>
      </c>
    </row>
    <row r="30" spans="1:6" x14ac:dyDescent="0.3">
      <c r="A30" s="49" t="s">
        <v>180</v>
      </c>
      <c r="B30">
        <v>55</v>
      </c>
      <c r="C30" s="31">
        <v>131</v>
      </c>
    </row>
    <row r="31" spans="1:6" x14ac:dyDescent="0.3">
      <c r="A31" s="49" t="s">
        <v>218</v>
      </c>
      <c r="B31">
        <v>6</v>
      </c>
      <c r="C31" s="31">
        <v>21</v>
      </c>
    </row>
    <row r="32" spans="1:6" x14ac:dyDescent="0.3">
      <c r="A32" s="49" t="s">
        <v>220</v>
      </c>
      <c r="B32">
        <v>1</v>
      </c>
      <c r="C32" s="31">
        <v>14</v>
      </c>
    </row>
    <row r="33" spans="1:3" x14ac:dyDescent="0.3">
      <c r="A33" s="49" t="s">
        <v>156</v>
      </c>
      <c r="B33">
        <v>25</v>
      </c>
      <c r="C33" s="31">
        <v>40</v>
      </c>
    </row>
    <row r="34" spans="1:3" x14ac:dyDescent="0.3">
      <c r="A34" s="49" t="s">
        <v>171</v>
      </c>
      <c r="B34">
        <v>185.8</v>
      </c>
      <c r="C34" s="31">
        <v>240</v>
      </c>
    </row>
    <row r="35" spans="1:3" x14ac:dyDescent="0.3">
      <c r="A35" s="49" t="s">
        <v>185</v>
      </c>
      <c r="B35">
        <v>72</v>
      </c>
      <c r="C35" s="31">
        <v>122</v>
      </c>
    </row>
    <row r="36" spans="1:3" x14ac:dyDescent="0.3">
      <c r="A36" s="49" t="s">
        <v>209</v>
      </c>
      <c r="B36">
        <v>13</v>
      </c>
      <c r="C36" s="31">
        <v>42</v>
      </c>
    </row>
    <row r="37" spans="1:3" x14ac:dyDescent="0.3">
      <c r="A37" s="49" t="s">
        <v>211</v>
      </c>
      <c r="B37">
        <v>6</v>
      </c>
      <c r="C37" s="31">
        <v>21</v>
      </c>
    </row>
    <row r="38" spans="1:3" x14ac:dyDescent="0.3">
      <c r="A38" s="49" t="s">
        <v>166</v>
      </c>
      <c r="B38">
        <v>47</v>
      </c>
      <c r="C38" s="31">
        <v>103</v>
      </c>
    </row>
    <row r="39" spans="1:3" x14ac:dyDescent="0.3">
      <c r="A39" s="49" t="s">
        <v>146</v>
      </c>
      <c r="B39">
        <v>10.8</v>
      </c>
      <c r="C39" s="31">
        <v>35</v>
      </c>
    </row>
    <row r="40" spans="1:3" x14ac:dyDescent="0.3">
      <c r="A40" s="49" t="s">
        <v>215</v>
      </c>
      <c r="B40">
        <v>26</v>
      </c>
      <c r="C40" s="31">
        <v>48</v>
      </c>
    </row>
    <row r="41" spans="1:3" x14ac:dyDescent="0.3">
      <c r="A41" s="49" t="s">
        <v>162</v>
      </c>
      <c r="B41">
        <v>24</v>
      </c>
      <c r="C41" s="31">
        <v>24</v>
      </c>
    </row>
    <row r="42" spans="1:3" x14ac:dyDescent="0.3">
      <c r="A42" s="49" t="s">
        <v>226</v>
      </c>
      <c r="B42">
        <v>14</v>
      </c>
      <c r="C42" s="31">
        <v>21</v>
      </c>
    </row>
    <row r="43" spans="1:3" x14ac:dyDescent="0.3">
      <c r="A43" s="49" t="s">
        <v>164</v>
      </c>
      <c r="B43">
        <v>19</v>
      </c>
      <c r="C43" s="31">
        <v>19</v>
      </c>
    </row>
    <row r="44" spans="1:3" x14ac:dyDescent="0.3">
      <c r="A44" s="49" t="s">
        <v>159</v>
      </c>
      <c r="B44">
        <v>2</v>
      </c>
      <c r="C44" s="31">
        <v>19</v>
      </c>
    </row>
    <row r="45" spans="1:3" x14ac:dyDescent="0.3">
      <c r="A45" s="49" t="s">
        <v>150</v>
      </c>
      <c r="B45">
        <v>31.6</v>
      </c>
      <c r="C45" s="31">
        <v>61</v>
      </c>
    </row>
    <row r="46" spans="1:3" x14ac:dyDescent="0.3">
      <c r="A46" s="49" t="s">
        <v>182</v>
      </c>
      <c r="B46">
        <v>17</v>
      </c>
      <c r="C46" s="31">
        <v>17</v>
      </c>
    </row>
    <row r="47" spans="1:3" x14ac:dyDescent="0.3">
      <c r="A47" s="49" t="s">
        <v>168</v>
      </c>
      <c r="B47">
        <v>16</v>
      </c>
      <c r="C47" s="31">
        <v>22</v>
      </c>
    </row>
    <row r="48" spans="1:3" x14ac:dyDescent="0.3">
      <c r="A48" s="49" t="s">
        <v>328</v>
      </c>
      <c r="B48">
        <v>571.20000000000005</v>
      </c>
      <c r="C48" s="31">
        <v>1000</v>
      </c>
    </row>
    <row r="50" spans="1:6" x14ac:dyDescent="0.3">
      <c r="A50" s="48" t="s">
        <v>327</v>
      </c>
      <c r="B50" t="s">
        <v>326</v>
      </c>
      <c r="E50" s="59" t="s">
        <v>338</v>
      </c>
      <c r="F50" s="59" t="s">
        <v>332</v>
      </c>
    </row>
    <row r="51" spans="1:6" x14ac:dyDescent="0.3">
      <c r="A51" s="49" t="s">
        <v>154</v>
      </c>
      <c r="B51" s="31">
        <v>131.57894736842104</v>
      </c>
    </row>
    <row r="52" spans="1:6" x14ac:dyDescent="0.3">
      <c r="A52" s="50" t="s">
        <v>160</v>
      </c>
      <c r="B52" s="31">
        <v>10.526315789473683</v>
      </c>
      <c r="E52" t="str">
        <f>A52</f>
        <v>Acceso a justicia</v>
      </c>
      <c r="F52" s="51">
        <f>GETPIVOTDATA("Porcentaje alcanzado",$A$50,"Dimensión","Análisis institucional","Índice / Indicador","Acceso a justicia")</f>
        <v>10.526315789473683</v>
      </c>
    </row>
    <row r="53" spans="1:6" x14ac:dyDescent="0.3">
      <c r="A53" s="50" t="s">
        <v>158</v>
      </c>
      <c r="B53" s="31">
        <v>21.052631578947366</v>
      </c>
      <c r="E53" t="str">
        <f>A53</f>
        <v>Coordinación intersectorial</v>
      </c>
      <c r="F53" s="51">
        <f>GETPIVOTDATA("Porcentaje alcanzado",$A$50,"Dimensión","Análisis institucional","Índice / Indicador","Coordinación intersectorial")</f>
        <v>21.052631578947366</v>
      </c>
    </row>
    <row r="54" spans="1:6" x14ac:dyDescent="0.3">
      <c r="A54" s="50" t="s">
        <v>157</v>
      </c>
      <c r="B54" s="31">
        <v>100</v>
      </c>
      <c r="E54" t="str">
        <f>A54</f>
        <v>Puntaje del sector de minas y energía en el índice de Desempeño Institucional</v>
      </c>
      <c r="F54" s="51">
        <f>GETPIVOTDATA("Porcentaje alcanzado",$A$50,"Dimensión","Análisis institucional","Índice / Indicador","Puntaje del sector de minas y energía en el índice de Desempeño Institucional")</f>
        <v>100</v>
      </c>
    </row>
    <row r="55" spans="1:6" x14ac:dyDescent="0.3">
      <c r="A55" s="49" t="s">
        <v>144</v>
      </c>
      <c r="B55" s="31">
        <v>219.07268170426067</v>
      </c>
    </row>
    <row r="56" spans="1:6" x14ac:dyDescent="0.3">
      <c r="A56" s="50" t="s">
        <v>151</v>
      </c>
      <c r="B56" s="31">
        <v>72.857142857142861</v>
      </c>
      <c r="E56" t="str">
        <f>A56</f>
        <v>Análisis de impacto regulatorio con dimensión ambiental</v>
      </c>
      <c r="F56" s="30">
        <f>GETPIVOTDATA("Porcentaje alcanzado",$A$50,"Dimensión","Análisis jurídico-normativo","Índice / Indicador","Análisis de impacto regulatorio con dimensión ambiental")</f>
        <v>72.857142857142861</v>
      </c>
    </row>
    <row r="57" spans="1:6" x14ac:dyDescent="0.3">
      <c r="A57" s="50" t="s">
        <v>148</v>
      </c>
      <c r="B57" s="31">
        <v>50</v>
      </c>
      <c r="E57" t="str">
        <f>A57</f>
        <v>Contexto favorable para el ejercicio de los derechos ambientales</v>
      </c>
      <c r="F57" s="30">
        <f>GETPIVOTDATA("Porcentaje alcanzado",$A$50,"Dimensión","Análisis jurídico-normativo","Índice / Indicador","Contexto favorable para el ejercicio de los derechos ambientales")</f>
        <v>50</v>
      </c>
    </row>
    <row r="58" spans="1:6" x14ac:dyDescent="0.3">
      <c r="A58" s="50" t="s">
        <v>152</v>
      </c>
      <c r="B58" s="31">
        <v>5.2631578947368416</v>
      </c>
      <c r="E58" t="str">
        <f>A58</f>
        <v>Evaluación ex post de regulaciones</v>
      </c>
      <c r="F58" s="30">
        <f>GETPIVOTDATA("Porcentaje alcanzado",$A$50,"Dimensión","Análisis jurídico-normativo","Índice / Indicador","Evaluación ex post de regulaciones")</f>
        <v>5.2631578947368416</v>
      </c>
    </row>
    <row r="59" spans="1:6" x14ac:dyDescent="0.3">
      <c r="A59" s="50" t="s">
        <v>153</v>
      </c>
      <c r="B59" s="31">
        <v>72.857142857142861</v>
      </c>
      <c r="E59" t="str">
        <f>A59</f>
        <v>Procesos de consulta pública en la producción normativa</v>
      </c>
      <c r="F59" s="30">
        <f>GETPIVOTDATA("Porcentaje alcanzado",$A$50,"Dimensión","Análisis jurídico-normativo","Índice / Indicador","Procesos de consulta pública en la producción normativa")</f>
        <v>72.857142857142861</v>
      </c>
    </row>
    <row r="60" spans="1:6" x14ac:dyDescent="0.3">
      <c r="A60" s="50" t="s">
        <v>147</v>
      </c>
      <c r="B60" s="31">
        <v>18.095238095238095</v>
      </c>
      <c r="E60" t="str">
        <f>A60</f>
        <v>Reconocimiento y protección de los derechos ambientales en la política sectorial de derechos humanos</v>
      </c>
      <c r="F60" s="30">
        <f>GETPIVOTDATA("Porcentaje alcanzado",$A$50,"Dimensión","Análisis jurídico-normativo","Índice / Indicador","Reconocimiento y protección de los derechos ambientales en la política sectorial de derechos humanos")</f>
        <v>18.095238095238095</v>
      </c>
    </row>
    <row r="61" spans="1:6" x14ac:dyDescent="0.3">
      <c r="A61" s="49" t="s">
        <v>170</v>
      </c>
      <c r="B61" s="31">
        <v>343.68421052631578</v>
      </c>
    </row>
    <row r="62" spans="1:6" x14ac:dyDescent="0.3">
      <c r="A62" s="50" t="s">
        <v>176</v>
      </c>
      <c r="B62" s="31">
        <v>43.684210526315795</v>
      </c>
      <c r="E62" t="str">
        <f>A62</f>
        <v>Área de superposición de cada subsector minero energético con áreas prioritarias de conservación</v>
      </c>
      <c r="F62" s="30">
        <f>GETPIVOTDATA("Porcentaje alcanzado",$A$50,"Dimensión","Biofísica y ecológica","Índice / Indicador","Área de superposición de cada subsector minero energético con áreas prioritarias de conservación")</f>
        <v>43.684210526315795</v>
      </c>
    </row>
    <row r="63" spans="1:6" x14ac:dyDescent="0.3">
      <c r="A63" s="50" t="s">
        <v>175</v>
      </c>
      <c r="B63" s="31">
        <v>50</v>
      </c>
      <c r="E63" t="str">
        <f t="shared" ref="E63:E66" si="3">A63</f>
        <v>Área de superposición de cada subsector minero energético con determinantes ambientales</v>
      </c>
      <c r="F63" s="30">
        <f>GETPIVOTDATA("Porcentaje alcanzado",$A$50,"Dimensión","Biofísica y ecológica","Índice / Indicador","Área de superposición de cada subsector minero energético con determinantes ambientales")</f>
        <v>50</v>
      </c>
    </row>
    <row r="64" spans="1:6" x14ac:dyDescent="0.3">
      <c r="A64" s="50" t="s">
        <v>172</v>
      </c>
      <c r="B64" s="31">
        <v>100</v>
      </c>
      <c r="E64" t="str">
        <f t="shared" si="3"/>
        <v>Variación de la demanda hídrica</v>
      </c>
      <c r="F64" s="30">
        <f>GETPIVOTDATA("Porcentaje alcanzado",$A$50,"Dimensión","Biofísica y ecológica","Índice / Indicador","Variación de la demanda hídrica")</f>
        <v>100</v>
      </c>
    </row>
    <row r="65" spans="1:6" x14ac:dyDescent="0.3">
      <c r="A65" s="50" t="s">
        <v>173</v>
      </c>
      <c r="B65" s="31">
        <v>100</v>
      </c>
      <c r="E65" t="str">
        <f t="shared" si="3"/>
        <v>Variación de la huella hídrica azul</v>
      </c>
      <c r="F65" s="30">
        <f>GETPIVOTDATA("Porcentaje alcanzado",$A$50,"Dimensión","Biofísica y ecológica","Índice / Indicador","Variación de la huella hídrica azul")</f>
        <v>100</v>
      </c>
    </row>
    <row r="66" spans="1:6" x14ac:dyDescent="0.3">
      <c r="A66" s="50" t="s">
        <v>174</v>
      </c>
      <c r="B66" s="31">
        <v>50</v>
      </c>
      <c r="E66" t="str">
        <f t="shared" si="3"/>
        <v>Variación del área compensada por cada subsector minero energético</v>
      </c>
      <c r="F66" s="30">
        <f>GETPIVOTDATA("Porcentaje alcanzado",$A$50,"Dimensión","Biofísica y ecológica","Índice / Indicador","Variación del área compensada por cada subsector minero energético")</f>
        <v>50</v>
      </c>
    </row>
    <row r="67" spans="1:6" x14ac:dyDescent="0.3">
      <c r="A67" s="49" t="s">
        <v>184</v>
      </c>
      <c r="B67" s="31">
        <v>210.38961038961037</v>
      </c>
    </row>
    <row r="68" spans="1:6" x14ac:dyDescent="0.3">
      <c r="A68" s="50" t="s">
        <v>189</v>
      </c>
      <c r="B68" s="31">
        <v>50</v>
      </c>
    </row>
    <row r="69" spans="1:6" x14ac:dyDescent="0.3">
      <c r="A69" s="50" t="s">
        <v>190</v>
      </c>
      <c r="B69" s="31">
        <v>25</v>
      </c>
    </row>
    <row r="70" spans="1:6" x14ac:dyDescent="0.3">
      <c r="A70" s="50" t="s">
        <v>191</v>
      </c>
      <c r="B70" s="31">
        <v>75</v>
      </c>
    </row>
    <row r="71" spans="1:6" x14ac:dyDescent="0.3">
      <c r="A71" s="50" t="s">
        <v>188</v>
      </c>
      <c r="B71" s="31">
        <v>0</v>
      </c>
    </row>
    <row r="72" spans="1:6" x14ac:dyDescent="0.3">
      <c r="A72" s="50" t="s">
        <v>187</v>
      </c>
      <c r="B72" s="31">
        <v>28.571428571428569</v>
      </c>
    </row>
    <row r="73" spans="1:6" x14ac:dyDescent="0.3">
      <c r="A73" s="50" t="s">
        <v>186</v>
      </c>
      <c r="B73" s="31">
        <v>31.818181818181817</v>
      </c>
    </row>
    <row r="74" spans="1:6" x14ac:dyDescent="0.3">
      <c r="A74" s="49" t="s">
        <v>199</v>
      </c>
      <c r="B74" s="31">
        <v>431.81818181818181</v>
      </c>
    </row>
    <row r="75" spans="1:6" x14ac:dyDescent="0.3">
      <c r="A75" s="50" t="s">
        <v>203</v>
      </c>
      <c r="B75" s="31">
        <v>100</v>
      </c>
    </row>
    <row r="76" spans="1:6" x14ac:dyDescent="0.3">
      <c r="A76" s="50" t="s">
        <v>204</v>
      </c>
      <c r="B76" s="31">
        <v>31.818181818181817</v>
      </c>
    </row>
    <row r="77" spans="1:6" x14ac:dyDescent="0.3">
      <c r="A77" s="50" t="s">
        <v>200</v>
      </c>
      <c r="B77" s="31">
        <v>100</v>
      </c>
    </row>
    <row r="78" spans="1:6" x14ac:dyDescent="0.3">
      <c r="A78" s="50" t="s">
        <v>201</v>
      </c>
      <c r="B78" s="31">
        <v>100</v>
      </c>
    </row>
    <row r="79" spans="1:6" x14ac:dyDescent="0.3">
      <c r="A79" s="50" t="s">
        <v>202</v>
      </c>
      <c r="B79" s="31">
        <v>100</v>
      </c>
    </row>
    <row r="80" spans="1:6" x14ac:dyDescent="0.3">
      <c r="A80" s="49" t="s">
        <v>177</v>
      </c>
      <c r="B80" s="31">
        <v>182.20551378446115</v>
      </c>
    </row>
    <row r="81" spans="1:2" x14ac:dyDescent="0.3">
      <c r="A81" s="50" t="s">
        <v>181</v>
      </c>
      <c r="B81" s="31">
        <v>63.157894736842103</v>
      </c>
    </row>
    <row r="82" spans="1:2" x14ac:dyDescent="0.3">
      <c r="A82" s="50" t="s">
        <v>183</v>
      </c>
      <c r="B82" s="31">
        <v>100</v>
      </c>
    </row>
    <row r="83" spans="1:2" x14ac:dyDescent="0.3">
      <c r="A83" s="50" t="s">
        <v>178</v>
      </c>
      <c r="B83" s="31">
        <v>19.047619047619047</v>
      </c>
    </row>
    <row r="84" spans="1:2" x14ac:dyDescent="0.3">
      <c r="A84" s="49" t="s">
        <v>161</v>
      </c>
      <c r="B84" s="31">
        <v>347.72727272727275</v>
      </c>
    </row>
    <row r="85" spans="1:2" x14ac:dyDescent="0.3">
      <c r="A85" s="50" t="s">
        <v>167</v>
      </c>
      <c r="B85" s="31">
        <v>75</v>
      </c>
    </row>
    <row r="86" spans="1:2" x14ac:dyDescent="0.3">
      <c r="A86" s="50" t="s">
        <v>169</v>
      </c>
      <c r="B86" s="31">
        <v>72.727272727272734</v>
      </c>
    </row>
    <row r="87" spans="1:2" x14ac:dyDescent="0.3">
      <c r="A87" s="50" t="s">
        <v>165</v>
      </c>
      <c r="B87" s="31">
        <v>100</v>
      </c>
    </row>
    <row r="88" spans="1:2" x14ac:dyDescent="0.3">
      <c r="A88" s="50" t="s">
        <v>163</v>
      </c>
      <c r="B88" s="31">
        <v>100</v>
      </c>
    </row>
    <row r="89" spans="1:2" x14ac:dyDescent="0.3">
      <c r="A89" s="49" t="s">
        <v>222</v>
      </c>
      <c r="B89" s="31">
        <v>274.99999999999994</v>
      </c>
    </row>
    <row r="90" spans="1:2" x14ac:dyDescent="0.3">
      <c r="A90" s="50" t="s">
        <v>227</v>
      </c>
      <c r="B90" s="31">
        <v>66.666666666666657</v>
      </c>
    </row>
    <row r="91" spans="1:2" x14ac:dyDescent="0.3">
      <c r="A91" s="50" t="s">
        <v>223</v>
      </c>
      <c r="B91" s="31">
        <v>100</v>
      </c>
    </row>
    <row r="92" spans="1:2" x14ac:dyDescent="0.3">
      <c r="A92" s="50" t="s">
        <v>224</v>
      </c>
      <c r="B92" s="31">
        <v>100</v>
      </c>
    </row>
    <row r="93" spans="1:2" x14ac:dyDescent="0.3">
      <c r="A93" s="50" t="s">
        <v>225</v>
      </c>
      <c r="B93" s="31">
        <v>8.3333333333333321</v>
      </c>
    </row>
    <row r="94" spans="1:2" x14ac:dyDescent="0.3">
      <c r="A94" s="49" t="s">
        <v>205</v>
      </c>
      <c r="B94" s="31">
        <v>245.23809523809518</v>
      </c>
    </row>
    <row r="95" spans="1:2" x14ac:dyDescent="0.3">
      <c r="A95" s="50" t="s">
        <v>212</v>
      </c>
      <c r="B95" s="31">
        <v>28.571428571428569</v>
      </c>
    </row>
    <row r="96" spans="1:2" x14ac:dyDescent="0.3">
      <c r="A96" s="50" t="s">
        <v>207</v>
      </c>
      <c r="B96" s="31">
        <v>50</v>
      </c>
    </row>
    <row r="97" spans="1:2" x14ac:dyDescent="0.3">
      <c r="A97" s="50" t="s">
        <v>208</v>
      </c>
      <c r="B97" s="31">
        <v>33.333333333333329</v>
      </c>
    </row>
    <row r="98" spans="1:2" x14ac:dyDescent="0.3">
      <c r="A98" s="50" t="s">
        <v>206</v>
      </c>
      <c r="B98" s="31">
        <v>71.428571428571431</v>
      </c>
    </row>
    <row r="99" spans="1:2" x14ac:dyDescent="0.3">
      <c r="A99" s="50" t="s">
        <v>213</v>
      </c>
      <c r="B99" s="31">
        <v>28.571428571428569</v>
      </c>
    </row>
    <row r="100" spans="1:2" x14ac:dyDescent="0.3">
      <c r="A100" s="50" t="s">
        <v>210</v>
      </c>
      <c r="B100" s="31">
        <v>33.333333333333329</v>
      </c>
    </row>
    <row r="101" spans="1:2" x14ac:dyDescent="0.3">
      <c r="A101" s="49" t="s">
        <v>214</v>
      </c>
      <c r="B101" s="31">
        <v>144.04761904761904</v>
      </c>
    </row>
    <row r="102" spans="1:2" x14ac:dyDescent="0.3">
      <c r="A102" s="50" t="s">
        <v>221</v>
      </c>
      <c r="B102" s="31">
        <v>7.1428571428571423</v>
      </c>
    </row>
    <row r="103" spans="1:2" x14ac:dyDescent="0.3">
      <c r="A103" s="50" t="s">
        <v>219</v>
      </c>
      <c r="B103" s="31">
        <v>28.571428571428569</v>
      </c>
    </row>
    <row r="104" spans="1:2" x14ac:dyDescent="0.3">
      <c r="A104" s="50" t="s">
        <v>217</v>
      </c>
      <c r="B104" s="31">
        <v>58.333333333333336</v>
      </c>
    </row>
    <row r="105" spans="1:2" x14ac:dyDescent="0.3">
      <c r="A105" s="50" t="s">
        <v>216</v>
      </c>
      <c r="B105" s="31">
        <v>50</v>
      </c>
    </row>
    <row r="106" spans="1:2" x14ac:dyDescent="0.3">
      <c r="A106" s="49" t="s">
        <v>192</v>
      </c>
      <c r="B106" s="31">
        <v>386.55462184873943</v>
      </c>
    </row>
    <row r="107" spans="1:2" x14ac:dyDescent="0.3">
      <c r="A107" s="50" t="s">
        <v>196</v>
      </c>
      <c r="B107" s="31">
        <v>100</v>
      </c>
    </row>
    <row r="108" spans="1:2" x14ac:dyDescent="0.3">
      <c r="A108" s="50" t="s">
        <v>195</v>
      </c>
      <c r="B108" s="31">
        <v>100</v>
      </c>
    </row>
    <row r="109" spans="1:2" x14ac:dyDescent="0.3">
      <c r="A109" s="50" t="s">
        <v>198</v>
      </c>
      <c r="B109" s="31">
        <v>29.411764705882355</v>
      </c>
    </row>
    <row r="110" spans="1:2" x14ac:dyDescent="0.3">
      <c r="A110" s="50" t="s">
        <v>197</v>
      </c>
      <c r="B110" s="31">
        <v>100</v>
      </c>
    </row>
    <row r="111" spans="1:2" x14ac:dyDescent="0.3">
      <c r="A111" s="50" t="s">
        <v>194</v>
      </c>
      <c r="B111" s="31">
        <v>42.857142857142854</v>
      </c>
    </row>
    <row r="112" spans="1:2" x14ac:dyDescent="0.3">
      <c r="A112" s="50" t="s">
        <v>193</v>
      </c>
      <c r="B112" s="31">
        <v>14.285714285714285</v>
      </c>
    </row>
    <row r="113" spans="1:2" x14ac:dyDescent="0.3">
      <c r="A113" s="49" t="s">
        <v>328</v>
      </c>
      <c r="B113" s="31">
        <v>2917.3167544529779</v>
      </c>
    </row>
  </sheetData>
  <mergeCells count="2">
    <mergeCell ref="I4:J4"/>
    <mergeCell ref="I3:J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DCC86-3FB7-4809-9E7F-438575BD5A3D}">
  <dimension ref="A1:J56"/>
  <sheetViews>
    <sheetView tabSelected="1" topLeftCell="C45" zoomScale="89" workbookViewId="0">
      <selection activeCell="F56" sqref="F56"/>
    </sheetView>
  </sheetViews>
  <sheetFormatPr baseColWidth="10" defaultRowHeight="14.4" x14ac:dyDescent="0.3"/>
  <cols>
    <col min="1" max="1" width="31.21875" customWidth="1"/>
    <col min="2" max="2" width="31.109375" customWidth="1"/>
    <col min="3" max="3" width="30.6640625" customWidth="1"/>
    <col min="4" max="4" width="27.5546875" customWidth="1"/>
    <col min="5" max="5" width="42.21875" customWidth="1"/>
    <col min="6" max="6" width="30" customWidth="1"/>
    <col min="7" max="7" width="30.77734375" customWidth="1"/>
    <col min="8" max="8" width="32.88671875" customWidth="1"/>
    <col min="9" max="9" width="31.21875" customWidth="1"/>
  </cols>
  <sheetData>
    <row r="1" spans="1:10" s="36" customFormat="1" ht="29.4" thickBot="1" x14ac:dyDescent="0.35">
      <c r="A1" s="33" t="s">
        <v>133</v>
      </c>
      <c r="B1" s="34" t="s">
        <v>4</v>
      </c>
      <c r="C1" s="34" t="s">
        <v>134</v>
      </c>
      <c r="D1" s="35" t="s">
        <v>59</v>
      </c>
      <c r="E1" s="35" t="s">
        <v>135</v>
      </c>
      <c r="F1" s="37" t="s">
        <v>240</v>
      </c>
      <c r="G1" s="37" t="s">
        <v>241</v>
      </c>
      <c r="H1" s="37" t="s">
        <v>242</v>
      </c>
      <c r="I1" s="37" t="s">
        <v>243</v>
      </c>
      <c r="J1" s="37" t="s">
        <v>1268</v>
      </c>
    </row>
    <row r="2" spans="1:10" ht="43.8" thickTop="1" x14ac:dyDescent="0.3">
      <c r="A2" s="22">
        <v>1</v>
      </c>
      <c r="B2" s="23" t="s">
        <v>144</v>
      </c>
      <c r="C2" s="24" t="s">
        <v>145</v>
      </c>
      <c r="D2" s="23" t="s">
        <v>146</v>
      </c>
      <c r="E2" s="23" t="s">
        <v>147</v>
      </c>
      <c r="F2" s="26">
        <f>'Puntaje asignado indicador'!D3</f>
        <v>7.75</v>
      </c>
      <c r="G2" s="26">
        <f>'Puntaje asignado indicador'!G3</f>
        <v>7.75</v>
      </c>
      <c r="H2" s="25">
        <f>Tabla1[[#This Row],[Aproximación a la unidad]]</f>
        <v>21</v>
      </c>
      <c r="I2" s="39">
        <f>G2/H2*100</f>
        <v>36.904761904761905</v>
      </c>
    </row>
    <row r="3" spans="1:10" ht="28.8" x14ac:dyDescent="0.3">
      <c r="A3" s="22">
        <v>2</v>
      </c>
      <c r="B3" s="23" t="s">
        <v>144</v>
      </c>
      <c r="C3" s="24" t="s">
        <v>145</v>
      </c>
      <c r="D3" s="23" t="s">
        <v>146</v>
      </c>
      <c r="E3" s="23" t="s">
        <v>148</v>
      </c>
      <c r="F3" s="26">
        <f>'Puntaje asignado indicador'!D4</f>
        <v>2.8</v>
      </c>
      <c r="G3" s="26">
        <f>'Puntaje asignado indicador'!G4</f>
        <v>2.8</v>
      </c>
      <c r="H3" s="25">
        <f>Tabla1[[#This Row],[Aproximación a la unidad]]</f>
        <v>14</v>
      </c>
      <c r="I3" s="39">
        <f>G3/H3*100</f>
        <v>20</v>
      </c>
    </row>
    <row r="4" spans="1:10" ht="28.8" x14ac:dyDescent="0.3">
      <c r="A4" s="22">
        <v>3</v>
      </c>
      <c r="B4" s="23" t="s">
        <v>144</v>
      </c>
      <c r="C4" s="24" t="s">
        <v>149</v>
      </c>
      <c r="D4" s="23" t="s">
        <v>150</v>
      </c>
      <c r="E4" s="23" t="s">
        <v>151</v>
      </c>
      <c r="F4" s="26">
        <f>'Puntaje asignado indicador'!D5</f>
        <v>15.3</v>
      </c>
      <c r="G4" s="26">
        <f>'Puntaje asignado indicador'!G5</f>
        <v>15.3</v>
      </c>
      <c r="H4" s="25">
        <f>Tabla1[[#This Row],[Aproximación a la unidad]]</f>
        <v>21</v>
      </c>
      <c r="I4" s="39">
        <f t="shared" ref="I4:I52" si="0">G4/H4*100</f>
        <v>72.857142857142861</v>
      </c>
    </row>
    <row r="5" spans="1:10" ht="28.8" x14ac:dyDescent="0.3">
      <c r="A5" s="22">
        <v>4</v>
      </c>
      <c r="B5" s="23" t="s">
        <v>144</v>
      </c>
      <c r="C5" s="24" t="s">
        <v>149</v>
      </c>
      <c r="D5" s="23" t="s">
        <v>150</v>
      </c>
      <c r="E5" s="23" t="s">
        <v>152</v>
      </c>
      <c r="F5" s="26">
        <f>'Puntaje asignado indicador'!D6</f>
        <v>1</v>
      </c>
      <c r="G5" s="26">
        <f>'Puntaje asignado indicador'!G6</f>
        <v>1</v>
      </c>
      <c r="H5" s="25">
        <f>Tabla1[[#This Row],[Aproximación a la unidad]]</f>
        <v>19</v>
      </c>
      <c r="I5" s="39">
        <f t="shared" si="0"/>
        <v>5.2631578947368416</v>
      </c>
    </row>
    <row r="6" spans="1:10" s="42" customFormat="1" ht="28.8" x14ac:dyDescent="0.3">
      <c r="A6" s="43">
        <v>5</v>
      </c>
      <c r="B6" s="44" t="s">
        <v>144</v>
      </c>
      <c r="C6" s="45" t="s">
        <v>149</v>
      </c>
      <c r="D6" s="44" t="s">
        <v>150</v>
      </c>
      <c r="E6" s="44" t="s">
        <v>153</v>
      </c>
      <c r="F6" s="46">
        <v>15.3</v>
      </c>
      <c r="G6" s="26">
        <f>'Puntaje asignado indicador'!G7</f>
        <v>15.3</v>
      </c>
      <c r="H6" s="25">
        <f>Tabla1[[#This Row],[Aproximación a la unidad]]</f>
        <v>21</v>
      </c>
      <c r="I6" s="47">
        <f t="shared" si="0"/>
        <v>72.857142857142861</v>
      </c>
      <c r="J6" s="155"/>
    </row>
    <row r="7" spans="1:10" ht="28.8" x14ac:dyDescent="0.3">
      <c r="A7" s="22">
        <v>6</v>
      </c>
      <c r="B7" s="23" t="s">
        <v>154</v>
      </c>
      <c r="C7" s="24" t="s">
        <v>155</v>
      </c>
      <c r="D7" s="23" t="s">
        <v>156</v>
      </c>
      <c r="E7" s="23" t="s">
        <v>157</v>
      </c>
      <c r="F7" s="26">
        <f>'Puntaje asignado indicador'!D8</f>
        <v>4.2</v>
      </c>
      <c r="G7" s="26">
        <f>'Puntaje asignado indicador'!G8</f>
        <v>4.2</v>
      </c>
      <c r="H7" s="25">
        <f>Tabla1[[#This Row],[Aproximación a la unidad]]</f>
        <v>21</v>
      </c>
      <c r="I7" s="39">
        <f t="shared" si="0"/>
        <v>20</v>
      </c>
    </row>
    <row r="8" spans="1:10" ht="28.8" x14ac:dyDescent="0.3">
      <c r="A8" s="22">
        <v>7</v>
      </c>
      <c r="B8" s="23" t="s">
        <v>154</v>
      </c>
      <c r="C8" s="24" t="s">
        <v>155</v>
      </c>
      <c r="D8" s="23" t="s">
        <v>156</v>
      </c>
      <c r="E8" s="23" t="s">
        <v>158</v>
      </c>
      <c r="F8" s="26">
        <f>'Puntaje asignado indicador'!D9</f>
        <v>4</v>
      </c>
      <c r="G8" s="26">
        <f>'Puntaje asignado indicador'!G9</f>
        <v>4</v>
      </c>
      <c r="H8" s="25">
        <f>Tabla1[[#This Row],[Aproximación a la unidad]]</f>
        <v>19</v>
      </c>
      <c r="I8" s="39">
        <f t="shared" si="0"/>
        <v>21.052631578947366</v>
      </c>
    </row>
    <row r="9" spans="1:10" x14ac:dyDescent="0.3">
      <c r="A9" s="22">
        <v>8</v>
      </c>
      <c r="B9" s="23" t="s">
        <v>154</v>
      </c>
      <c r="C9" s="24" t="s">
        <v>149</v>
      </c>
      <c r="D9" s="23" t="s">
        <v>159</v>
      </c>
      <c r="E9" s="23" t="s">
        <v>160</v>
      </c>
      <c r="F9" s="26">
        <f>'Puntaje asignado indicador'!D10</f>
        <v>2</v>
      </c>
      <c r="G9" s="26">
        <f>'Puntaje asignado indicador'!G10</f>
        <v>2</v>
      </c>
      <c r="H9" s="25">
        <f>Tabla1[[#This Row],[Aproximación a la unidad]]</f>
        <v>19</v>
      </c>
      <c r="I9" s="39">
        <f t="shared" si="0"/>
        <v>10.526315789473683</v>
      </c>
    </row>
    <row r="10" spans="1:10" x14ac:dyDescent="0.3">
      <c r="A10" s="117">
        <v>9</v>
      </c>
      <c r="B10" s="118" t="s">
        <v>161</v>
      </c>
      <c r="C10" s="119" t="s">
        <v>149</v>
      </c>
      <c r="D10" s="118" t="s">
        <v>162</v>
      </c>
      <c r="E10" s="118" t="s">
        <v>163</v>
      </c>
      <c r="F10" s="120">
        <f>'Puntaje asignado indicador'!D11</f>
        <v>84.899371334542849</v>
      </c>
      <c r="G10" s="120">
        <f>'Puntaje asignado indicador'!G11</f>
        <v>19</v>
      </c>
      <c r="H10" s="121">
        <f>Tabla1[[#This Row],[Aproximación a la unidad]]</f>
        <v>24</v>
      </c>
      <c r="I10" s="122">
        <f t="shared" si="0"/>
        <v>79.166666666666657</v>
      </c>
    </row>
    <row r="11" spans="1:10" x14ac:dyDescent="0.3">
      <c r="A11" s="117">
        <v>10</v>
      </c>
      <c r="B11" s="118" t="s">
        <v>161</v>
      </c>
      <c r="C11" s="119" t="s">
        <v>149</v>
      </c>
      <c r="D11" s="118" t="s">
        <v>164</v>
      </c>
      <c r="E11" s="118" t="s">
        <v>165</v>
      </c>
      <c r="F11" s="120">
        <f>'Puntaje asignado indicador'!D12</f>
        <v>27.625028755463532</v>
      </c>
      <c r="G11" s="120">
        <f>'Puntaje asignado indicador'!G12</f>
        <v>15</v>
      </c>
      <c r="H11" s="121">
        <f>Tabla1[[#This Row],[Aproximación a la unidad]]</f>
        <v>19</v>
      </c>
      <c r="I11" s="122">
        <f t="shared" si="0"/>
        <v>78.94736842105263</v>
      </c>
    </row>
    <row r="12" spans="1:10" x14ac:dyDescent="0.3">
      <c r="A12" s="117">
        <v>11</v>
      </c>
      <c r="B12" s="118" t="s">
        <v>161</v>
      </c>
      <c r="C12" s="119" t="s">
        <v>149</v>
      </c>
      <c r="D12" s="118" t="s">
        <v>166</v>
      </c>
      <c r="E12" s="118" t="s">
        <v>167</v>
      </c>
      <c r="F12" s="120">
        <f>'Puntaje asignado indicador'!D13</f>
        <v>35.251798561151077</v>
      </c>
      <c r="G12" s="120">
        <f>'Puntaje asignado indicador'!G13</f>
        <v>18</v>
      </c>
      <c r="H12" s="121">
        <f>Tabla1[[#This Row],[Aproximación a la unidad]]</f>
        <v>24</v>
      </c>
      <c r="I12" s="122">
        <f t="shared" si="0"/>
        <v>75</v>
      </c>
    </row>
    <row r="13" spans="1:10" x14ac:dyDescent="0.3">
      <c r="A13" s="22">
        <v>12</v>
      </c>
      <c r="B13" s="23" t="s">
        <v>161</v>
      </c>
      <c r="C13" s="24" t="s">
        <v>149</v>
      </c>
      <c r="D13" s="23" t="s">
        <v>168</v>
      </c>
      <c r="E13" s="23" t="s">
        <v>169</v>
      </c>
      <c r="F13" s="26">
        <f>'Puntaje asignado indicador'!D14</f>
        <v>94.3125</v>
      </c>
      <c r="G13" s="26">
        <f>'Puntaje asignado indicador'!G14</f>
        <v>16</v>
      </c>
      <c r="H13" s="25">
        <f>Tabla1[[#This Row],[Aproximación a la unidad]]</f>
        <v>22</v>
      </c>
      <c r="I13" s="39">
        <f t="shared" si="0"/>
        <v>72.727272727272734</v>
      </c>
    </row>
    <row r="14" spans="1:10" x14ac:dyDescent="0.3">
      <c r="A14" s="22">
        <v>13</v>
      </c>
      <c r="B14" s="23" t="s">
        <v>170</v>
      </c>
      <c r="C14" s="24" t="s">
        <v>155</v>
      </c>
      <c r="D14" s="23" t="s">
        <v>171</v>
      </c>
      <c r="E14" s="23" t="s">
        <v>172</v>
      </c>
      <c r="F14" s="26">
        <f>'Puntaje asignado indicador'!D15</f>
        <v>1507.5000000000002</v>
      </c>
      <c r="G14" s="26">
        <f>'Puntaje asignado indicador'!G15</f>
        <v>17</v>
      </c>
      <c r="H14" s="25">
        <f>Tabla1[[#This Row],[Aproximación a la unidad]]</f>
        <v>17</v>
      </c>
      <c r="I14" s="39">
        <f t="shared" si="0"/>
        <v>100</v>
      </c>
    </row>
    <row r="15" spans="1:10" x14ac:dyDescent="0.3">
      <c r="A15" s="22">
        <v>14</v>
      </c>
      <c r="B15" s="23" t="s">
        <v>170</v>
      </c>
      <c r="C15" s="24" t="s">
        <v>155</v>
      </c>
      <c r="D15" s="23" t="s">
        <v>171</v>
      </c>
      <c r="E15" s="23" t="s">
        <v>173</v>
      </c>
      <c r="F15" s="26">
        <f>'Puntaje asignado indicador'!D16</f>
        <v>39.60000000000003</v>
      </c>
      <c r="G15" s="26">
        <f>'Puntaje asignado indicador'!G16</f>
        <v>17</v>
      </c>
      <c r="H15" s="25">
        <f>Tabla1[[#This Row],[Aproximación a la unidad]]</f>
        <v>17</v>
      </c>
      <c r="I15" s="39">
        <f t="shared" si="0"/>
        <v>100</v>
      </c>
    </row>
    <row r="16" spans="1:10" ht="28.8" x14ac:dyDescent="0.3">
      <c r="A16" s="22">
        <v>15</v>
      </c>
      <c r="B16" s="23" t="s">
        <v>170</v>
      </c>
      <c r="C16" s="24" t="s">
        <v>155</v>
      </c>
      <c r="D16" s="23" t="s">
        <v>171</v>
      </c>
      <c r="E16" s="23" t="s">
        <v>174</v>
      </c>
      <c r="F16" s="85">
        <f>'Puntaje asignado indicador'!D17</f>
        <v>2975.8630922734742</v>
      </c>
      <c r="G16" s="26">
        <f>'Puntaje asignado indicador'!G17</f>
        <v>9.5</v>
      </c>
      <c r="H16" s="25">
        <f>Tabla1[[#This Row],[Aproximación a la unidad]]</f>
        <v>19</v>
      </c>
      <c r="I16" s="39">
        <f t="shared" si="0"/>
        <v>50</v>
      </c>
    </row>
    <row r="17" spans="1:9" ht="28.8" x14ac:dyDescent="0.3">
      <c r="A17" s="22">
        <v>16</v>
      </c>
      <c r="B17" s="23" t="s">
        <v>170</v>
      </c>
      <c r="C17" s="24" t="s">
        <v>155</v>
      </c>
      <c r="D17" s="23" t="s">
        <v>171</v>
      </c>
      <c r="E17" s="23" t="s">
        <v>175</v>
      </c>
      <c r="F17" s="87">
        <f>'Puntaje asignado indicador'!D18</f>
        <v>43.950025930740956</v>
      </c>
      <c r="G17" s="26">
        <f>'Puntaje asignado indicador'!G18</f>
        <v>14.25</v>
      </c>
      <c r="H17" s="25">
        <f>Tabla1[[#This Row],[Aproximación a la unidad]]</f>
        <v>19</v>
      </c>
      <c r="I17" s="39">
        <f t="shared" si="0"/>
        <v>75</v>
      </c>
    </row>
    <row r="18" spans="1:9" ht="28.8" x14ac:dyDescent="0.3">
      <c r="A18" s="22">
        <v>17</v>
      </c>
      <c r="B18" s="23" t="s">
        <v>170</v>
      </c>
      <c r="C18" s="24" t="s">
        <v>155</v>
      </c>
      <c r="D18" s="23" t="s">
        <v>171</v>
      </c>
      <c r="E18" s="23" t="s">
        <v>176</v>
      </c>
      <c r="F18" s="87">
        <f>'Puntaje asignado indicador'!D19</f>
        <v>34.475552173836057</v>
      </c>
      <c r="G18" s="26">
        <f>'Puntaje asignado indicador'!G19</f>
        <v>10</v>
      </c>
      <c r="H18" s="25">
        <f>Tabla1[[#This Row],[Aproximación a la unidad]]</f>
        <v>19</v>
      </c>
      <c r="I18" s="39">
        <f t="shared" si="0"/>
        <v>52.631578947368418</v>
      </c>
    </row>
    <row r="19" spans="1:9" ht="28.8" x14ac:dyDescent="0.3">
      <c r="A19" s="22">
        <v>18</v>
      </c>
      <c r="B19" s="23" t="s">
        <v>177</v>
      </c>
      <c r="C19" s="24" t="s">
        <v>155</v>
      </c>
      <c r="D19" s="23" t="s">
        <v>171</v>
      </c>
      <c r="E19" s="23" t="s">
        <v>178</v>
      </c>
      <c r="F19" s="87">
        <f>'Puntaje asignado indicador'!D20</f>
        <v>56.339554681991935</v>
      </c>
      <c r="G19" s="26">
        <f>'Puntaje asignado indicador'!G20</f>
        <v>4</v>
      </c>
      <c r="H19" s="25">
        <f>Tabla1[[#This Row],[Aproximación a la unidad]]</f>
        <v>21</v>
      </c>
      <c r="I19" s="39">
        <f t="shared" si="0"/>
        <v>19.047619047619047</v>
      </c>
    </row>
    <row r="20" spans="1:9" x14ac:dyDescent="0.3">
      <c r="A20" s="22">
        <v>19</v>
      </c>
      <c r="B20" s="23" t="s">
        <v>177</v>
      </c>
      <c r="C20" s="23" t="s">
        <v>179</v>
      </c>
      <c r="D20" s="24" t="s">
        <v>180</v>
      </c>
      <c r="E20" s="23" t="s">
        <v>181</v>
      </c>
      <c r="F20" s="87">
        <f>'Puntaje asignado indicador'!D21</f>
        <v>64.285714285714292</v>
      </c>
      <c r="G20" s="26">
        <f>'Puntaje asignado indicador'!G21</f>
        <v>12</v>
      </c>
      <c r="H20" s="25">
        <f>Tabla1[[#This Row],[Aproximación a la unidad]]</f>
        <v>19</v>
      </c>
      <c r="I20" s="39">
        <f t="shared" si="0"/>
        <v>63.157894736842103</v>
      </c>
    </row>
    <row r="21" spans="1:9" x14ac:dyDescent="0.3">
      <c r="A21" s="22">
        <v>20</v>
      </c>
      <c r="B21" s="23" t="s">
        <v>177</v>
      </c>
      <c r="C21" s="24" t="s">
        <v>155</v>
      </c>
      <c r="D21" s="23" t="s">
        <v>182</v>
      </c>
      <c r="E21" s="23" t="s">
        <v>183</v>
      </c>
      <c r="F21" s="87">
        <f>'Puntaje asignado indicador'!D22</f>
        <v>0</v>
      </c>
      <c r="G21" s="26">
        <f>'Puntaje asignado indicador'!G22</f>
        <v>17</v>
      </c>
      <c r="H21" s="25">
        <f>Tabla1[[#This Row],[Aproximación a la unidad]]</f>
        <v>17</v>
      </c>
      <c r="I21" s="39">
        <f t="shared" si="0"/>
        <v>100</v>
      </c>
    </row>
    <row r="22" spans="1:9" ht="28.8" x14ac:dyDescent="0.3">
      <c r="A22" s="22">
        <v>21</v>
      </c>
      <c r="B22" s="23" t="s">
        <v>184</v>
      </c>
      <c r="C22" s="24" t="s">
        <v>179</v>
      </c>
      <c r="D22" s="23" t="s">
        <v>185</v>
      </c>
      <c r="E22" s="23" t="s">
        <v>186</v>
      </c>
      <c r="F22" s="87">
        <f>'Puntaje asignado indicador'!D23</f>
        <v>-1.0436079016026745</v>
      </c>
      <c r="G22" s="26">
        <f>'Puntaje asignado indicador'!G23</f>
        <v>17</v>
      </c>
      <c r="H22" s="25">
        <f>Tabla1[[#This Row],[Aproximación a la unidad]]</f>
        <v>22</v>
      </c>
      <c r="I22" s="39">
        <f t="shared" si="0"/>
        <v>77.272727272727266</v>
      </c>
    </row>
    <row r="23" spans="1:9" ht="28.8" x14ac:dyDescent="0.3">
      <c r="A23" s="22">
        <v>22</v>
      </c>
      <c r="B23" s="23" t="s">
        <v>184</v>
      </c>
      <c r="C23" s="24" t="s">
        <v>179</v>
      </c>
      <c r="D23" s="23" t="s">
        <v>185</v>
      </c>
      <c r="E23" s="23" t="s">
        <v>187</v>
      </c>
      <c r="F23" s="87">
        <f>'Puntaje asignado indicador'!D24</f>
        <v>-96.196899958972139</v>
      </c>
      <c r="G23" s="26">
        <f>'Puntaje asignado indicador'!G24</f>
        <v>6</v>
      </c>
      <c r="H23" s="25">
        <f>Tabla1[[#This Row],[Aproximación a la unidad]]</f>
        <v>21</v>
      </c>
      <c r="I23" s="39">
        <f t="shared" si="0"/>
        <v>28.571428571428569</v>
      </c>
    </row>
    <row r="24" spans="1:9" ht="28.8" x14ac:dyDescent="0.3">
      <c r="A24" s="22">
        <v>23</v>
      </c>
      <c r="B24" s="23" t="s">
        <v>184</v>
      </c>
      <c r="C24" s="24" t="s">
        <v>179</v>
      </c>
      <c r="D24" s="23" t="s">
        <v>180</v>
      </c>
      <c r="E24" s="23" t="s">
        <v>188</v>
      </c>
      <c r="F24" s="87">
        <f>'Puntaje asignado indicador'!D25</f>
        <v>0</v>
      </c>
      <c r="G24" s="26">
        <f>'Puntaje asignado indicador'!G25</f>
        <v>0</v>
      </c>
      <c r="H24" s="25">
        <f>Tabla1[[#This Row],[Aproximación a la unidad]]</f>
        <v>19</v>
      </c>
      <c r="I24" s="39">
        <f t="shared" si="0"/>
        <v>0</v>
      </c>
    </row>
    <row r="25" spans="1:9" ht="28.8" x14ac:dyDescent="0.3">
      <c r="A25" s="137">
        <v>24</v>
      </c>
      <c r="B25" s="138" t="s">
        <v>184</v>
      </c>
      <c r="C25" s="139" t="s">
        <v>179</v>
      </c>
      <c r="D25" s="138" t="s">
        <v>180</v>
      </c>
      <c r="E25" s="139" t="s">
        <v>189</v>
      </c>
      <c r="F25" s="140">
        <f>'Puntaje asignado indicador'!D26</f>
        <v>2.7293082133838387</v>
      </c>
      <c r="G25" s="141">
        <f>'Puntaje asignado indicador'!G26</f>
        <v>12</v>
      </c>
      <c r="H25" s="142">
        <f>Tabla1[[#This Row],[Aproximación a la unidad]]</f>
        <v>24</v>
      </c>
      <c r="I25" s="143">
        <f t="shared" si="0"/>
        <v>50</v>
      </c>
    </row>
    <row r="26" spans="1:9" ht="28.8" x14ac:dyDescent="0.3">
      <c r="A26" s="137">
        <v>25</v>
      </c>
      <c r="B26" s="138" t="s">
        <v>184</v>
      </c>
      <c r="C26" s="139" t="s">
        <v>179</v>
      </c>
      <c r="D26" s="138" t="s">
        <v>180</v>
      </c>
      <c r="E26" s="139" t="s">
        <v>190</v>
      </c>
      <c r="F26" s="140">
        <f>'Puntaje asignado indicador'!D27</f>
        <v>4.1803278688524594</v>
      </c>
      <c r="G26" s="141">
        <f>'Puntaje asignado indicador'!G27</f>
        <v>6</v>
      </c>
      <c r="H26" s="142">
        <f>Tabla1[[#This Row],[Aproximación a la unidad]]</f>
        <v>24</v>
      </c>
      <c r="I26" s="143">
        <f t="shared" si="0"/>
        <v>25</v>
      </c>
    </row>
    <row r="27" spans="1:9" ht="28.8" x14ac:dyDescent="0.3">
      <c r="A27" s="137">
        <v>26</v>
      </c>
      <c r="B27" s="138" t="s">
        <v>184</v>
      </c>
      <c r="C27" s="139" t="s">
        <v>179</v>
      </c>
      <c r="D27" s="138" t="s">
        <v>180</v>
      </c>
      <c r="E27" s="139" t="s">
        <v>191</v>
      </c>
      <c r="F27" s="140">
        <f>'Puntaje asignado indicador'!D28</f>
        <v>1.3301886792452831</v>
      </c>
      <c r="G27" s="141">
        <f>'Puntaje asignado indicador'!G28</f>
        <v>18</v>
      </c>
      <c r="H27" s="142">
        <f>Tabla1[[#This Row],[Aproximación a la unidad]]</f>
        <v>24</v>
      </c>
      <c r="I27" s="143">
        <f t="shared" si="0"/>
        <v>75</v>
      </c>
    </row>
    <row r="28" spans="1:9" ht="28.8" x14ac:dyDescent="0.3">
      <c r="A28" s="22">
        <v>27</v>
      </c>
      <c r="B28" s="23" t="s">
        <v>192</v>
      </c>
      <c r="C28" s="24" t="s">
        <v>179</v>
      </c>
      <c r="D28" s="23" t="s">
        <v>185</v>
      </c>
      <c r="E28" s="23" t="s">
        <v>193</v>
      </c>
      <c r="F28" s="133">
        <f>'Puntaje asignado indicador'!D29</f>
        <v>-1.2113578074583521E-3</v>
      </c>
      <c r="G28" s="26">
        <f>'Puntaje asignado indicador'!G29</f>
        <v>2</v>
      </c>
      <c r="H28" s="25">
        <f>Tabla1[[#This Row],[Aproximación a la unidad]]</f>
        <v>14</v>
      </c>
      <c r="I28" s="39">
        <f t="shared" si="0"/>
        <v>14.285714285714285</v>
      </c>
    </row>
    <row r="29" spans="1:9" x14ac:dyDescent="0.3">
      <c r="A29" s="22">
        <v>28</v>
      </c>
      <c r="B29" s="23" t="s">
        <v>192</v>
      </c>
      <c r="C29" s="24" t="s">
        <v>179</v>
      </c>
      <c r="D29" s="23" t="s">
        <v>185</v>
      </c>
      <c r="E29" s="23" t="s">
        <v>194</v>
      </c>
      <c r="F29" s="133">
        <f>'Puntaje asignado indicador'!D30</f>
        <v>0.15702089713508027</v>
      </c>
      <c r="G29" s="26">
        <f>'Puntaje asignado indicador'!G30</f>
        <v>6</v>
      </c>
      <c r="H29" s="25">
        <f>Tabla1[[#This Row],[Aproximación a la unidad]]</f>
        <v>14</v>
      </c>
      <c r="I29" s="39">
        <f t="shared" si="0"/>
        <v>42.857142857142854</v>
      </c>
    </row>
    <row r="30" spans="1:9" ht="28.8" x14ac:dyDescent="0.3">
      <c r="A30" s="22">
        <v>29</v>
      </c>
      <c r="B30" s="23" t="s">
        <v>192</v>
      </c>
      <c r="C30" s="24" t="s">
        <v>179</v>
      </c>
      <c r="D30" s="23" t="s">
        <v>185</v>
      </c>
      <c r="E30" s="23" t="s">
        <v>195</v>
      </c>
      <c r="F30" s="133">
        <f>'Puntaje asignado indicador'!D31</f>
        <v>9.2625350114814964</v>
      </c>
      <c r="G30" s="26">
        <f>'Puntaje asignado indicador'!G31</f>
        <v>10</v>
      </c>
      <c r="H30" s="25">
        <f>Tabla1[[#This Row],[Aproximación a la unidad]]</f>
        <v>17</v>
      </c>
      <c r="I30" s="39">
        <f t="shared" si="0"/>
        <v>58.82352941176471</v>
      </c>
    </row>
    <row r="31" spans="1:9" ht="28.8" x14ac:dyDescent="0.3">
      <c r="A31" s="117">
        <v>30</v>
      </c>
      <c r="B31" s="118" t="s">
        <v>192</v>
      </c>
      <c r="C31" s="119" t="s">
        <v>179</v>
      </c>
      <c r="D31" s="118" t="s">
        <v>185</v>
      </c>
      <c r="E31" s="118" t="s">
        <v>196</v>
      </c>
      <c r="F31" s="136">
        <f>'Puntaje asignado indicador'!D32</f>
        <v>36.444799521355506</v>
      </c>
      <c r="G31" s="162">
        <f>'Puntaje asignado indicador'!G32</f>
        <v>11</v>
      </c>
      <c r="H31" s="121">
        <f>Tabla1[[#This Row],[Aproximación a la unidad]]</f>
        <v>17</v>
      </c>
      <c r="I31" s="122">
        <f t="shared" si="0"/>
        <v>64.705882352941174</v>
      </c>
    </row>
    <row r="32" spans="1:9" ht="28.8" x14ac:dyDescent="0.3">
      <c r="A32" s="117">
        <v>31</v>
      </c>
      <c r="B32" s="118" t="s">
        <v>192</v>
      </c>
      <c r="C32" s="119" t="s">
        <v>179</v>
      </c>
      <c r="D32" s="118" t="s">
        <v>185</v>
      </c>
      <c r="E32" s="118" t="s">
        <v>197</v>
      </c>
      <c r="F32" s="136">
        <f>'Puntaje asignado indicador'!D33</f>
        <v>7302438.8299999991</v>
      </c>
      <c r="G32" s="162">
        <f>'Puntaje asignado indicador'!G33</f>
        <v>10</v>
      </c>
      <c r="H32" s="121">
        <f>Tabla1[[#This Row],[Aproximación a la unidad]]</f>
        <v>17</v>
      </c>
      <c r="I32" s="122">
        <f t="shared" si="0"/>
        <v>58.82352941176471</v>
      </c>
    </row>
    <row r="33" spans="1:9" ht="28.8" x14ac:dyDescent="0.3">
      <c r="A33" s="22">
        <v>32</v>
      </c>
      <c r="B33" s="23" t="s">
        <v>192</v>
      </c>
      <c r="C33" s="24" t="s">
        <v>149</v>
      </c>
      <c r="D33" s="23" t="s">
        <v>166</v>
      </c>
      <c r="E33" s="23" t="s">
        <v>198</v>
      </c>
      <c r="F33" s="133">
        <f>'Puntaje asignado indicador'!D34</f>
        <v>8.3333333333333321</v>
      </c>
      <c r="G33" s="26">
        <f>'Puntaje asignado indicador'!G34</f>
        <v>13</v>
      </c>
      <c r="H33" s="25">
        <f>Tabla1[[#This Row],[Aproximación a la unidad]]</f>
        <v>17</v>
      </c>
      <c r="I33" s="39">
        <f t="shared" si="0"/>
        <v>76.470588235294116</v>
      </c>
    </row>
    <row r="34" spans="1:9" x14ac:dyDescent="0.3">
      <c r="A34" s="22">
        <v>33</v>
      </c>
      <c r="B34" s="23" t="s">
        <v>199</v>
      </c>
      <c r="C34" s="24" t="s">
        <v>155</v>
      </c>
      <c r="D34" s="23" t="s">
        <v>171</v>
      </c>
      <c r="E34" s="23" t="s">
        <v>200</v>
      </c>
      <c r="F34" s="133">
        <f>'Puntaje asignado indicador'!D35</f>
        <v>117.03662591364892</v>
      </c>
      <c r="G34" s="26">
        <f>'Puntaje asignado indicador'!G35</f>
        <v>21</v>
      </c>
      <c r="H34" s="25">
        <f>Tabla1[[#This Row],[Aproximación a la unidad]]</f>
        <v>21</v>
      </c>
      <c r="I34" s="39">
        <f t="shared" si="0"/>
        <v>100</v>
      </c>
    </row>
    <row r="35" spans="1:9" ht="28.8" x14ac:dyDescent="0.3">
      <c r="A35" s="22">
        <v>34</v>
      </c>
      <c r="B35" s="23" t="s">
        <v>199</v>
      </c>
      <c r="C35" s="24" t="s">
        <v>155</v>
      </c>
      <c r="D35" s="23" t="s">
        <v>171</v>
      </c>
      <c r="E35" s="23" t="s">
        <v>201</v>
      </c>
      <c r="F35" s="133">
        <f>'Puntaje asignado indicador'!D36</f>
        <v>98.519793895563382</v>
      </c>
      <c r="G35" s="26">
        <f>'Puntaje asignado indicador'!G36</f>
        <v>19</v>
      </c>
      <c r="H35" s="25">
        <f>Tabla1[[#This Row],[Aproximación a la unidad]]</f>
        <v>19</v>
      </c>
      <c r="I35" s="39">
        <f t="shared" si="0"/>
        <v>100</v>
      </c>
    </row>
    <row r="36" spans="1:9" ht="28.8" x14ac:dyDescent="0.3">
      <c r="A36" s="22">
        <v>35</v>
      </c>
      <c r="B36" s="23" t="s">
        <v>199</v>
      </c>
      <c r="C36" s="24" t="s">
        <v>155</v>
      </c>
      <c r="D36" s="23" t="s">
        <v>171</v>
      </c>
      <c r="E36" s="23" t="s">
        <v>202</v>
      </c>
      <c r="F36" s="133">
        <f>'Puntaje asignado indicador'!D37</f>
        <v>186.09271523178808</v>
      </c>
      <c r="G36" s="26">
        <f>'Puntaje asignado indicador'!G37</f>
        <v>14</v>
      </c>
      <c r="H36" s="25">
        <f>Tabla1[[#This Row],[Aproximación a la unidad]]</f>
        <v>14</v>
      </c>
      <c r="I36" s="39">
        <f t="shared" si="0"/>
        <v>100</v>
      </c>
    </row>
    <row r="37" spans="1:9" ht="28.8" x14ac:dyDescent="0.3">
      <c r="A37" s="22">
        <v>36</v>
      </c>
      <c r="B37" s="23" t="s">
        <v>199</v>
      </c>
      <c r="C37" s="24" t="s">
        <v>155</v>
      </c>
      <c r="D37" s="23" t="s">
        <v>171</v>
      </c>
      <c r="E37" s="23" t="s">
        <v>203</v>
      </c>
      <c r="F37" s="133">
        <f>'Puntaje asignado indicador'!D38</f>
        <v>6.2583221438961623</v>
      </c>
      <c r="G37" s="26">
        <f>'Puntaje asignado indicador'!G38</f>
        <v>17</v>
      </c>
      <c r="H37" s="25">
        <f>Tabla1[[#This Row],[Aproximación a la unidad]]</f>
        <v>17</v>
      </c>
      <c r="I37" s="39">
        <f t="shared" si="0"/>
        <v>100</v>
      </c>
    </row>
    <row r="38" spans="1:9" ht="28.8" x14ac:dyDescent="0.3">
      <c r="A38" s="22">
        <v>37</v>
      </c>
      <c r="B38" s="23" t="s">
        <v>199</v>
      </c>
      <c r="C38" s="24" t="s">
        <v>155</v>
      </c>
      <c r="D38" s="23" t="s">
        <v>171</v>
      </c>
      <c r="E38" s="23" t="s">
        <v>204</v>
      </c>
      <c r="F38" s="133">
        <f>'Puntaje asignado indicador'!D39</f>
        <v>52.521350284511733</v>
      </c>
      <c r="G38" s="26">
        <f>'Puntaje asignado indicador'!G39</f>
        <v>3.5</v>
      </c>
      <c r="H38" s="25">
        <f>Tabla1[[#This Row],[Aproximación a la unidad]]</f>
        <v>11</v>
      </c>
      <c r="I38" s="39">
        <f t="shared" si="0"/>
        <v>31.818181818181817</v>
      </c>
    </row>
    <row r="39" spans="1:9" ht="28.8" x14ac:dyDescent="0.3">
      <c r="A39" s="22">
        <v>38</v>
      </c>
      <c r="B39" s="23" t="s">
        <v>205</v>
      </c>
      <c r="C39" s="24" t="s">
        <v>149</v>
      </c>
      <c r="D39" s="23" t="s">
        <v>166</v>
      </c>
      <c r="E39" s="23" t="s">
        <v>206</v>
      </c>
      <c r="F39" s="133">
        <f>'Puntaje asignado indicador'!D40</f>
        <v>6.3941406361600786</v>
      </c>
      <c r="G39" s="26">
        <f>'Puntaje asignado indicador'!G40</f>
        <v>10</v>
      </c>
      <c r="H39" s="25">
        <f>Tabla1[[#This Row],[Aproximación a la unidad]]</f>
        <v>14</v>
      </c>
      <c r="I39" s="39">
        <f t="shared" si="0"/>
        <v>71.428571428571431</v>
      </c>
    </row>
    <row r="40" spans="1:9" ht="28.8" x14ac:dyDescent="0.3">
      <c r="A40" s="22">
        <v>39</v>
      </c>
      <c r="B40" s="23" t="s">
        <v>205</v>
      </c>
      <c r="C40" s="24" t="s">
        <v>149</v>
      </c>
      <c r="D40" s="23" t="s">
        <v>166</v>
      </c>
      <c r="E40" s="23" t="s">
        <v>207</v>
      </c>
      <c r="F40" s="133">
        <f>'Puntaje asignado indicador'!D41</f>
        <v>2.8199654084096006</v>
      </c>
      <c r="G40" s="26">
        <f>'Puntaje asignado indicador'!G41</f>
        <v>6</v>
      </c>
      <c r="H40" s="25">
        <f>Tabla1[[#This Row],[Aproximación a la unidad]]</f>
        <v>24</v>
      </c>
      <c r="I40" s="39">
        <f t="shared" si="0"/>
        <v>25</v>
      </c>
    </row>
    <row r="41" spans="1:9" ht="28.8" x14ac:dyDescent="0.3">
      <c r="A41" s="22">
        <v>40</v>
      </c>
      <c r="B41" s="23" t="s">
        <v>205</v>
      </c>
      <c r="C41" s="24" t="s">
        <v>179</v>
      </c>
      <c r="D41" s="23" t="s">
        <v>180</v>
      </c>
      <c r="E41" s="23" t="s">
        <v>208</v>
      </c>
      <c r="F41" s="133">
        <f>'Puntaje asignado indicador'!D42</f>
        <v>62.891867142620704</v>
      </c>
      <c r="G41" s="26">
        <f>'Puntaje asignado indicador'!G42</f>
        <v>7</v>
      </c>
      <c r="H41" s="25">
        <f>Tabla1[[#This Row],[Aproximación a la unidad]]</f>
        <v>21</v>
      </c>
      <c r="I41" s="39">
        <f t="shared" si="0"/>
        <v>33.333333333333329</v>
      </c>
    </row>
    <row r="42" spans="1:9" x14ac:dyDescent="0.3">
      <c r="A42" s="22">
        <v>41</v>
      </c>
      <c r="B42" s="23" t="s">
        <v>205</v>
      </c>
      <c r="C42" s="24" t="s">
        <v>155</v>
      </c>
      <c r="D42" s="23" t="s">
        <v>209</v>
      </c>
      <c r="E42" s="23" t="s">
        <v>210</v>
      </c>
      <c r="F42" s="133">
        <f>'Puntaje asignado indicador'!D43</f>
        <v>-5.1747093379535789</v>
      </c>
      <c r="G42" s="26">
        <f>'Puntaje asignado indicador'!G43</f>
        <v>7</v>
      </c>
      <c r="H42" s="25">
        <f>Tabla1[[#This Row],[Aproximación a la unidad]]</f>
        <v>21</v>
      </c>
      <c r="I42" s="39">
        <f t="shared" si="0"/>
        <v>33.333333333333329</v>
      </c>
    </row>
    <row r="43" spans="1:9" x14ac:dyDescent="0.3">
      <c r="A43" s="22">
        <v>42</v>
      </c>
      <c r="B43" s="23" t="s">
        <v>205</v>
      </c>
      <c r="C43" s="24" t="s">
        <v>155</v>
      </c>
      <c r="D43" s="23" t="s">
        <v>211</v>
      </c>
      <c r="E43" s="23" t="s">
        <v>212</v>
      </c>
      <c r="F43" s="133">
        <f>'Puntaje asignado indicador'!D44</f>
        <v>6.8212153832885143</v>
      </c>
      <c r="G43" s="26">
        <f>'Puntaje asignado indicador'!G44</f>
        <v>6</v>
      </c>
      <c r="H43" s="25">
        <f>Tabla1[[#This Row],[Aproximación a la unidad]]</f>
        <v>21</v>
      </c>
      <c r="I43" s="39">
        <f t="shared" si="0"/>
        <v>28.571428571428569</v>
      </c>
    </row>
    <row r="44" spans="1:9" x14ac:dyDescent="0.3">
      <c r="A44" s="22">
        <v>43</v>
      </c>
      <c r="B44" s="23" t="s">
        <v>205</v>
      </c>
      <c r="C44" s="24" t="s">
        <v>155</v>
      </c>
      <c r="D44" s="23" t="s">
        <v>209</v>
      </c>
      <c r="E44" s="23" t="s">
        <v>213</v>
      </c>
      <c r="F44" s="133">
        <f>'Puntaje asignado indicador'!D45</f>
        <v>12.762134706125511</v>
      </c>
      <c r="G44" s="26">
        <f>'Puntaje asignado indicador'!G45</f>
        <v>6</v>
      </c>
      <c r="H44" s="25">
        <f>Tabla1[[#This Row],[Aproximación a la unidad]]</f>
        <v>21</v>
      </c>
      <c r="I44" s="39">
        <f t="shared" si="0"/>
        <v>28.571428571428569</v>
      </c>
    </row>
    <row r="45" spans="1:9" ht="43.2" x14ac:dyDescent="0.3">
      <c r="A45" s="22">
        <v>44</v>
      </c>
      <c r="B45" s="23" t="s">
        <v>214</v>
      </c>
      <c r="C45" s="24" t="s">
        <v>145</v>
      </c>
      <c r="D45" s="23" t="s">
        <v>215</v>
      </c>
      <c r="E45" s="23" t="s">
        <v>216</v>
      </c>
      <c r="F45" s="133">
        <f>'Puntaje asignado indicador'!D46</f>
        <v>7</v>
      </c>
      <c r="G45" s="26">
        <f>'Puntaje asignado indicador'!G46</f>
        <v>7</v>
      </c>
      <c r="H45" s="25">
        <f>Tabla1[[#This Row],[Aproximación a la unidad]]</f>
        <v>24</v>
      </c>
      <c r="I45" s="39">
        <f t="shared" si="0"/>
        <v>29.166666666666668</v>
      </c>
    </row>
    <row r="46" spans="1:9" ht="57.6" x14ac:dyDescent="0.3">
      <c r="A46" s="22">
        <v>45</v>
      </c>
      <c r="B46" s="23" t="s">
        <v>214</v>
      </c>
      <c r="C46" s="24" t="s">
        <v>145</v>
      </c>
      <c r="D46" s="23" t="s">
        <v>215</v>
      </c>
      <c r="E46" s="23" t="s">
        <v>217</v>
      </c>
      <c r="F46" s="133">
        <f>'Puntaje asignado indicador'!D47</f>
        <v>7</v>
      </c>
      <c r="G46" s="26">
        <f>'Puntaje asignado indicador'!G47</f>
        <v>7</v>
      </c>
      <c r="H46" s="25">
        <f>Tabla1[[#This Row],[Aproximación a la unidad]]</f>
        <v>24</v>
      </c>
      <c r="I46" s="39">
        <f t="shared" si="0"/>
        <v>29.166666666666668</v>
      </c>
    </row>
    <row r="47" spans="1:9" ht="28.8" x14ac:dyDescent="0.3">
      <c r="A47" s="22">
        <v>46</v>
      </c>
      <c r="B47" s="23" t="s">
        <v>214</v>
      </c>
      <c r="C47" s="24" t="s">
        <v>145</v>
      </c>
      <c r="D47" s="23" t="s">
        <v>218</v>
      </c>
      <c r="E47" s="23" t="s">
        <v>219</v>
      </c>
      <c r="F47" s="133">
        <f>'Puntaje asignado indicador'!D48</f>
        <v>21.486380036126114</v>
      </c>
      <c r="G47" s="26">
        <f>'Puntaje asignado indicador'!G48</f>
        <v>5</v>
      </c>
      <c r="H47" s="25">
        <f>Tabla1[[#This Row],[Aproximación a la unidad]]</f>
        <v>21</v>
      </c>
      <c r="I47" s="39">
        <f t="shared" si="0"/>
        <v>23.809523809523807</v>
      </c>
    </row>
    <row r="48" spans="1:9" ht="28.8" x14ac:dyDescent="0.3">
      <c r="A48" s="22">
        <v>47</v>
      </c>
      <c r="B48" s="23" t="s">
        <v>214</v>
      </c>
      <c r="C48" s="24" t="s">
        <v>149</v>
      </c>
      <c r="D48" s="23" t="s">
        <v>220</v>
      </c>
      <c r="E48" s="23" t="s">
        <v>221</v>
      </c>
      <c r="F48" s="133">
        <f>'Puntaje asignado indicador'!D49</f>
        <v>5</v>
      </c>
      <c r="G48" s="26">
        <f>'Puntaje asignado indicador'!G49</f>
        <v>5</v>
      </c>
      <c r="H48" s="25">
        <f>Tabla1[[#This Row],[Aproximación a la unidad]]</f>
        <v>14</v>
      </c>
      <c r="I48" s="39">
        <f t="shared" si="0"/>
        <v>35.714285714285715</v>
      </c>
    </row>
    <row r="49" spans="1:9" ht="28.8" x14ac:dyDescent="0.3">
      <c r="A49" s="22">
        <v>48</v>
      </c>
      <c r="B49" s="23" t="s">
        <v>222</v>
      </c>
      <c r="C49" s="24" t="s">
        <v>155</v>
      </c>
      <c r="D49" s="23" t="s">
        <v>171</v>
      </c>
      <c r="E49" s="23" t="s">
        <v>223</v>
      </c>
      <c r="F49" s="133">
        <f>'Puntaje asignado indicador'!D50</f>
        <v>13.94212180511574</v>
      </c>
      <c r="G49" s="26">
        <f>'Puntaje asignado indicador'!G50</f>
        <v>24</v>
      </c>
      <c r="H49" s="25">
        <f>Tabla1[[#This Row],[Aproximación a la unidad]]</f>
        <v>24</v>
      </c>
      <c r="I49" s="39">
        <f t="shared" si="0"/>
        <v>100</v>
      </c>
    </row>
    <row r="50" spans="1:9" ht="28.8" x14ac:dyDescent="0.3">
      <c r="A50" s="117">
        <v>49</v>
      </c>
      <c r="B50" s="118" t="s">
        <v>222</v>
      </c>
      <c r="C50" s="119" t="s">
        <v>155</v>
      </c>
      <c r="D50" s="118" t="s">
        <v>171</v>
      </c>
      <c r="E50" s="118" t="s">
        <v>224</v>
      </c>
      <c r="F50" s="136">
        <f>'Puntaje asignado indicador'!D51</f>
        <v>3.5991965978889122</v>
      </c>
      <c r="G50" s="120">
        <f>'Puntaje asignado indicador'!G51</f>
        <v>22</v>
      </c>
      <c r="H50" s="121">
        <f>Tabla1[[#This Row],[Aproximación a la unidad]]</f>
        <v>22</v>
      </c>
      <c r="I50" s="122">
        <f t="shared" si="0"/>
        <v>100</v>
      </c>
    </row>
    <row r="51" spans="1:9" ht="28.8" x14ac:dyDescent="0.3">
      <c r="A51" s="22">
        <v>50</v>
      </c>
      <c r="B51" s="23" t="s">
        <v>222</v>
      </c>
      <c r="C51" s="24" t="s">
        <v>149</v>
      </c>
      <c r="D51" s="23" t="s">
        <v>166</v>
      </c>
      <c r="E51" s="23" t="s">
        <v>225</v>
      </c>
      <c r="F51" s="133">
        <f>'Puntaje asignado indicador'!D52</f>
        <v>0.40307073095131329</v>
      </c>
      <c r="G51" s="26">
        <f>'Puntaje asignado indicador'!G52</f>
        <v>24</v>
      </c>
      <c r="H51" s="25">
        <f>Tabla1[[#This Row],[Aproximación a la unidad]]</f>
        <v>24</v>
      </c>
      <c r="I51" s="39">
        <f t="shared" si="0"/>
        <v>100</v>
      </c>
    </row>
    <row r="52" spans="1:9" ht="28.8" x14ac:dyDescent="0.3">
      <c r="A52" s="22">
        <v>51</v>
      </c>
      <c r="B52" s="23" t="s">
        <v>222</v>
      </c>
      <c r="C52" s="24" t="s">
        <v>149</v>
      </c>
      <c r="D52" s="23" t="s">
        <v>226</v>
      </c>
      <c r="E52" s="23" t="s">
        <v>227</v>
      </c>
      <c r="F52" s="133">
        <f>'Puntaje asignado indicador'!D53</f>
        <v>54.54545454545454</v>
      </c>
      <c r="G52" s="26">
        <f>'Puntaje asignado indicador'!G53</f>
        <v>14</v>
      </c>
      <c r="H52" s="25">
        <f>Tabla1[[#This Row],[Aproximación a la unidad]]</f>
        <v>21</v>
      </c>
      <c r="I52" s="39">
        <f t="shared" si="0"/>
        <v>66.666666666666657</v>
      </c>
    </row>
    <row r="53" spans="1:9" x14ac:dyDescent="0.3">
      <c r="A53" s="22"/>
      <c r="B53" s="23"/>
      <c r="C53" s="24"/>
      <c r="D53" s="23"/>
      <c r="E53" s="23"/>
      <c r="F53" s="32"/>
      <c r="G53" s="25"/>
      <c r="H53" s="25"/>
      <c r="I53" s="39"/>
    </row>
    <row r="54" spans="1:9" x14ac:dyDescent="0.3">
      <c r="G54" s="31">
        <f>SUBTOTAL(109,Tabla2[Puntaje para la gobernanza])</f>
        <v>556.6</v>
      </c>
      <c r="H54" s="31">
        <f>SUBTOTAL(109,Tabla2[Puntaje máximo del indicador])</f>
        <v>1000</v>
      </c>
      <c r="I54" s="31">
        <f>SUBTOTAL(101,Tabla2[Porcentaje alcanzado])</f>
        <v>55.559415341331203</v>
      </c>
    </row>
    <row r="56" spans="1:9" x14ac:dyDescent="0.3">
      <c r="G56" s="83">
        <f>Tabla2[[#Totals],[Puntaje para la gobernanza]]/Tabla2[[#Totals],[Puntaje máximo del indicador]]</f>
        <v>0.55659999999999998</v>
      </c>
    </row>
  </sheetData>
  <phoneticPr fontId="14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58B37-A53D-46D5-9326-D9679D4AF825}">
  <dimension ref="A1:B13"/>
  <sheetViews>
    <sheetView workbookViewId="0">
      <selection activeCell="B6" sqref="B6"/>
    </sheetView>
  </sheetViews>
  <sheetFormatPr baseColWidth="10" defaultRowHeight="14.4" x14ac:dyDescent="0.3"/>
  <cols>
    <col min="1" max="1" width="31.88671875" bestFit="1" customWidth="1"/>
    <col min="2" max="2" width="30.5546875" bestFit="1" customWidth="1"/>
  </cols>
  <sheetData>
    <row r="1" spans="1:2" x14ac:dyDescent="0.3">
      <c r="A1" s="48" t="s">
        <v>327</v>
      </c>
      <c r="B1" t="s">
        <v>1269</v>
      </c>
    </row>
    <row r="2" spans="1:2" x14ac:dyDescent="0.3">
      <c r="A2" s="49" t="s">
        <v>154</v>
      </c>
      <c r="B2" s="83">
        <v>43.859649122807014</v>
      </c>
    </row>
    <row r="3" spans="1:2" x14ac:dyDescent="0.3">
      <c r="A3" s="49" t="s">
        <v>144</v>
      </c>
      <c r="B3" s="83">
        <v>43.814536340852136</v>
      </c>
    </row>
    <row r="4" spans="1:2" x14ac:dyDescent="0.3">
      <c r="A4" s="49" t="s">
        <v>170</v>
      </c>
      <c r="B4" s="83">
        <v>68.73684210526315</v>
      </c>
    </row>
    <row r="5" spans="1:2" x14ac:dyDescent="0.3">
      <c r="A5" s="49" t="s">
        <v>184</v>
      </c>
      <c r="B5" s="83">
        <v>35.064935064935064</v>
      </c>
    </row>
    <row r="6" spans="1:2" x14ac:dyDescent="0.3">
      <c r="A6" s="49" t="s">
        <v>199</v>
      </c>
      <c r="B6" s="83">
        <v>86.36363636363636</v>
      </c>
    </row>
    <row r="7" spans="1:2" x14ac:dyDescent="0.3">
      <c r="A7" s="49" t="s">
        <v>177</v>
      </c>
      <c r="B7" s="83">
        <v>60.735171261487046</v>
      </c>
    </row>
    <row r="8" spans="1:2" x14ac:dyDescent="0.3">
      <c r="A8" s="49" t="s">
        <v>161</v>
      </c>
      <c r="B8" s="83">
        <v>86.931818181818187</v>
      </c>
    </row>
    <row r="9" spans="1:2" x14ac:dyDescent="0.3">
      <c r="A9" s="49" t="s">
        <v>222</v>
      </c>
      <c r="B9" s="83">
        <v>68.75</v>
      </c>
    </row>
    <row r="10" spans="1:2" x14ac:dyDescent="0.3">
      <c r="A10" s="49" t="s">
        <v>205</v>
      </c>
      <c r="B10" s="83">
        <v>40.873015873015866</v>
      </c>
    </row>
    <row r="11" spans="1:2" x14ac:dyDescent="0.3">
      <c r="A11" s="49" t="s">
        <v>214</v>
      </c>
      <c r="B11" s="83">
        <v>36.011904761904766</v>
      </c>
    </row>
    <row r="12" spans="1:2" x14ac:dyDescent="0.3">
      <c r="A12" s="49" t="s">
        <v>192</v>
      </c>
      <c r="B12" s="83">
        <v>64.425770308123248</v>
      </c>
    </row>
    <row r="13" spans="1:2" x14ac:dyDescent="0.3">
      <c r="A13" s="49" t="s">
        <v>328</v>
      </c>
      <c r="B13" s="31">
        <v>57.20228930299956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Variable_indicador</vt:lpstr>
      <vt:lpstr>Puntaje asignado indicador</vt:lpstr>
      <vt:lpstr>Ponderado indicador</vt:lpstr>
      <vt:lpstr>Tb</vt:lpstr>
      <vt:lpstr>Resultado</vt:lpstr>
      <vt:lpstr>tablas dinamicas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ANGIE NATALIA CASALLAS CHAVEZ</dc:creator>
  <cp:lastModifiedBy>ANGIE NATALIA CASALLAS CHAVEZ</cp:lastModifiedBy>
  <dcterms:created xsi:type="dcterms:W3CDTF">2025-05-17T21:18:17Z</dcterms:created>
  <dcterms:modified xsi:type="dcterms:W3CDTF">2025-09-15T19:44:21Z</dcterms:modified>
</cp:coreProperties>
</file>